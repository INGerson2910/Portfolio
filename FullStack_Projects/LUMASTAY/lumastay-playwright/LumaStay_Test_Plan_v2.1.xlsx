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est Cases" sheetId="2" state="visible" r:id="rId4"/>
    <sheet name="Summary" sheetId="3" state="visible" r:id="rId5"/>
    <sheet name="Oracles &amp; PO Decisions" sheetId="4" state="visible" r:id="rId6"/>
  </sheets>
  <definedNames>
    <definedName function="false" hidden="true" localSheetId="1" name="_xlnm._FilterDatabase" vbProcedure="false">'Test Cases'!$A$1:$H$174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<sst xmlns="http://schemas.openxmlformats.org/spreadsheetml/2006/main" count="1584" uniqueCount="1037">
  <si>
    <t xml:space="preserve">LumaStay — Test Plan v2.1 (reference-based)</t>
  </si>
  <si>
    <t xml:space="preserve">Version / date</t>
  </si>
  <si>
    <t xml:space="preserve">2.1 · 2026-10-16 · Adds TC-API-008…011: GET /health and GET /api/v1/destinations had no API cases in v2.0. Based on v2.0 (2026-09-10), which superseded v1.0 (code-based).</t>
  </si>
  <si>
    <t xml:space="preserve">Why v2</t>
  </si>
  <si>
    <t xml:space="preserve">v1 used the source code as the oracle, so tests could only confirm current behaviour. v2 derives expected results from external oracles; the code is used only to know how to test (endpoints, payloads, data-testid).</t>
  </si>
  <si>
    <t xml:space="preserve">Oracle order</t>
  </si>
  <si>
    <t xml:space="preserve">1) Regulations and standards (LFPC México, FTC 16 CFR 464, PCI DSS 4.0.1, NIST SP 800-63B-4, WCAG 2.2, RFC 9110, ISO 4217, ISO/IEC 7812). 2) Documented behaviour of Booking.com, Expedia Group and Despegar. 3) Consistency heuristics (CONS). 4) Product Owner decisions (PO-xx). See sheet "Oracles &amp; PO Decisions".</t>
  </si>
  <si>
    <t xml:space="preserve">Description prefix</t>
  </si>
  <si>
    <t xml:space="preserve">[Behavior] = LumaStay has the capability; the case checks it is correct. [Gap] = capability missing; the case fails by design until built (track, do not hide). Oracle = rule source. Finding = related static finding (D/F/CD from Technical Specifications, N from User Stories v2) or "-".</t>
  </si>
  <si>
    <t xml:space="preserve">Scope</t>
  </si>
  <si>
    <t xml:space="preserve">Authentication, registration, session, search dates and occupancy, price display, filters, rooms and rate conditions, checkout totals, guest and payment data, booking and confirmation, My bookings, cancellation, modification, inventory integrity, API semantics, security and privacy, localization, accessibility.</t>
  </si>
  <si>
    <t xml:space="preserve">Out of scope</t>
  </si>
  <si>
    <t xml:space="preserve">Performance/load, real payment processors, native apps, flights/packages.</t>
  </si>
  <si>
    <t xml:space="preserve">Approach</t>
  </si>
  <si>
    <t xml:space="preserve">Risk-based: money (price, charge, refund), legal price display, inventory integrity and data exposure first (Must). API-first execution; DB for side effects; UI for rendering and journeys; network mocking only for UI rendering of states the UI cannot produce.</t>
  </si>
  <si>
    <t xml:space="preserve">Environment</t>
  </si>
  <si>
    <t xml:space="preserve">PostgreSQL (Docker), backend :4000, frontend :5173, Node.js 22/24/26, Playwright 1.63; Chromium primary, Firefox/WebKit smoke.</t>
  </si>
  <si>
    <t xml:space="preserve">Test data</t>
  </si>
  <si>
    <t xml:space="preserve">Seed catalogue and demo user qa@lumastay.app. STAY = 3 weekday nights starting ≥ 10 days from today; WKND = Thursday→Sunday. Compute dates at runtime; control time for cancellation deadlines.</t>
  </si>
  <si>
    <t xml:space="preserve">Entry criteria</t>
  </si>
  <si>
    <t xml:space="preserve">Backend health 200; data reset available; inventory horizon covers test dates; frontend API URL configurable; PO decisions PO-01..PO-11 confirmed or amended.</t>
  </si>
  <si>
    <t xml:space="preserve">Exit criteria</t>
  </si>
  <si>
    <t xml:space="preserve">All Must cases executed; Behavior failures reported with evidence and oracle reference; Gap cases linked to backlog items; no open Critical defects without risk acceptance.</t>
  </si>
  <si>
    <t xml:space="preserve">Known risks</t>
  </si>
  <si>
    <t xml:space="preserve">Seed inventory ended 2026-10-09 (seed.js: 180 days from 2026-04-13); as of 2026-10-16 the entry criterion "inventory horizon covers test dates" is not met for search, availability and booking cases until the seed is made relative (Tech Spec §11); hard-coded frontend API URL; shared data across parallel tests; PO values may change expected results.</t>
  </si>
  <si>
    <t xml:space="preserve">Status values</t>
  </si>
  <si>
    <t xml:space="preserve">Not run · Passed · Failed · Blocked · Retest Passed · Retest Failed (column H drop-down).</t>
  </si>
  <si>
    <t xml:space="preserve">How to use</t>
  </si>
  <si>
    <t xml:space="preserve">Edit only column H during execution. Summary recalculates. New cases: ID TC-&lt;MODULE&gt;-&lt;NNN&gt; and the Description prefix convention.</t>
  </si>
  <si>
    <t xml:space="preserve">ID</t>
  </si>
  <si>
    <t xml:space="preserve">TC Name</t>
  </si>
  <si>
    <t xml:space="preserve">TC Type (UI/API/DB)</t>
  </si>
  <si>
    <t xml:space="preserve">Description</t>
  </si>
  <si>
    <t xml:space="preserve">Step</t>
  </si>
  <si>
    <t xml:space="preserve">Expected result</t>
  </si>
  <si>
    <t xml:space="preserve">Module/Option</t>
  </si>
  <si>
    <t xml:space="preserve">Status</t>
  </si>
  <si>
    <t xml:space="preserve">TC-AUT-001</t>
  </si>
  <si>
    <t xml:space="preserve">Unknown email and wrong password are indistinguishable</t>
  </si>
  <si>
    <t xml:space="preserve">API</t>
  </si>
  <si>
    <t xml:space="preserve">[Behavior] Oracle: REF-OWASP-01. Finding: -. Prevent account enumeration.</t>
  </si>
  <si>
    <t xml:space="preserve">1. POST /auth/login with qa@lumastay.app and a wrong password.
2. POST /auth/login with nobody@lumastay.app and Password123!.
3. Compare status, body and response time order of magnitude.</t>
  </si>
  <si>
    <t xml:space="preserve">Both HTTP 401 with identical error code and message; no field-specific hint.</t>
  </si>
  <si>
    <t xml:space="preserve">Authentication</t>
  </si>
  <si>
    <t xml:space="preserve">Not run</t>
  </si>
  <si>
    <t xml:space="preserve">TC-AUT-002</t>
  </si>
  <si>
    <t xml:space="preserve">Rate limiting after consecutive failures</t>
  </si>
  <si>
    <t xml:space="preserve">[Behavior] Oracle: REF-NIST-01, REF-OWASP-01, PO-10. Finding: D-18. Brute-force protection.</t>
  </si>
  <si>
    <t xml:space="preserve">1. Create a dedicated user.
2. Send 5 failed logins within 15 minutes.
3. Send a login with the correct password.</t>
  </si>
  <si>
    <t xml:space="preserve">HTTP 429 with retry information; attempts within limit behave normally.</t>
  </si>
  <si>
    <t xml:space="preserve">TC-AUT-003</t>
  </si>
  <si>
    <t xml:space="preserve">Rate limit resets after the window</t>
  </si>
  <si>
    <t xml:space="preserve">[Behavior] Oracle: PO-10. Finding: D-18. Lockout must not be permanent.</t>
  </si>
  <si>
    <t xml:space="preserve">1. Trigger rate limiting for a dedicated user.
2. Wait for (or simulate) the end of the window.
3. Log in with correct password.</t>
  </si>
  <si>
    <t xml:space="preserve">HTTP 200 after the window.</t>
  </si>
  <si>
    <t xml:space="preserve">TC-AUT-004</t>
  </si>
  <si>
    <t xml:space="preserve">Email is case-insensitive at login</t>
  </si>
  <si>
    <t xml:space="preserve">[Behavior] Oracle: PO-11. Finding: D-13. Normalised identifiers.</t>
  </si>
  <si>
    <t xml:space="preserve">1. POST /auth/login with "QA@LumaStay.App" and Password123!.</t>
  </si>
  <si>
    <t xml:space="preserve">HTTP 200; the same user id as with lower-case email.</t>
  </si>
  <si>
    <t xml:space="preserve">TC-AUT-005</t>
  </si>
  <si>
    <t xml:space="preserve">Leading/trailing spaces in email</t>
  </si>
  <si>
    <t xml:space="preserve">[Behavior] Oracle: PO-11, CONS. Finding: -. Common input mistake from copy/paste.</t>
  </si>
  <si>
    <t xml:space="preserve">1. POST /auth/login with " qa@lumastay.app " and correct password.</t>
  </si>
  <si>
    <t xml:space="preserve">HTTP 200 (email trimmed) or HTTP 400 with a clear message; never 401 "invalid credentials".</t>
  </si>
  <si>
    <t xml:space="preserve">TC-AUT-006</t>
  </si>
  <si>
    <t xml:space="preserve">Malformed email format</t>
  </si>
  <si>
    <t xml:space="preserve">[Behavior] Oracle: REF-HTTP-01, PO-08. Finding: -. Input validation.</t>
  </si>
  <si>
    <t xml:space="preserve">1. POST /auth/login with email "ana@".</t>
  </si>
  <si>
    <t xml:space="preserve">HTTP 400 with error envelope identifying the email field.</t>
  </si>
  <si>
    <t xml:space="preserve">TC-AUT-007</t>
  </si>
  <si>
    <t xml:space="preserve">Password not echoed in any response</t>
  </si>
  <si>
    <t xml:space="preserve">[Behavior] Oracle: REF-OWASP-01. Finding: -. Data exposure.</t>
  </si>
  <si>
    <t xml:space="preserve">1. Login successfully.
2. Inspect body and headers.</t>
  </si>
  <si>
    <t xml:space="preserve">No password or hash in body, headers or error details.</t>
  </si>
  <si>
    <t xml:space="preserve">TC-AUT-008</t>
  </si>
  <si>
    <t xml:space="preserve">Sign in from UI with labelled fields</t>
  </si>
  <si>
    <t xml:space="preserve">UI</t>
  </si>
  <si>
    <t xml:space="preserve">[Behavior] Oracle: REF-WCAG-01. Finding: F-10. Accessible names for credentials.</t>
  </si>
  <si>
    <t xml:space="preserve">1. Open the sign-in screen.
2. Locate email and password by role/label (getByLabel).</t>
  </si>
  <si>
    <t xml:space="preserve">Both fields are found by their accessible label.</t>
  </si>
  <si>
    <t xml:space="preserve">TC-AUT-009</t>
  </si>
  <si>
    <t xml:space="preserve">Submit sign-in with Enter key</t>
  </si>
  <si>
    <t xml:space="preserve">[Behavior] Oracle: REF-WCAG-01 (2.1.1). Finding: F-10. Keyboard operability.</t>
  </si>
  <si>
    <t xml:space="preserve">1. Type valid credentials.
2. Press Enter in the password field.</t>
  </si>
  <si>
    <t xml:space="preserve">User is signed in and lands on search.</t>
  </si>
  <si>
    <t xml:space="preserve">TC-AUT-010</t>
  </si>
  <si>
    <t xml:space="preserve">Failed sign-in message in UI</t>
  </si>
  <si>
    <t xml:space="preserve">[Behavior] Oracle: REF-OWASP-01, REF-WCAG-01 (3.3.1). Finding: -. Error identification.</t>
  </si>
  <si>
    <t xml:space="preserve">1. Sign in with a wrong password.</t>
  </si>
  <si>
    <t xml:space="preserve">Generic error visible and announced (e.g., role=alert); password field cleared or kept consistently; no hint about which field failed.</t>
  </si>
  <si>
    <t xml:space="preserve">TC-AUT-011</t>
  </si>
  <si>
    <t xml:space="preserve">Password field masked with optional reveal</t>
  </si>
  <si>
    <t xml:space="preserve">[Behavior] Oracle: CONS. Finding: -. Credential confidentiality.</t>
  </si>
  <si>
    <t xml:space="preserve">1. Inspect the password input.</t>
  </si>
  <si>
    <t xml:space="preserve">type="password"; if a reveal control exists it is operable by keyboard.</t>
  </si>
  <si>
    <t xml:space="preserve">TC-REG-001</t>
  </si>
  <si>
    <t xml:space="preserve">Password shorter than 15 characters rejected</t>
  </si>
  <si>
    <t xml:space="preserve">[Behavior] Oracle: REF-NIST-01, PO-10. Finding: N-06. Single-factor minimum length (BVA 14).</t>
  </si>
  <si>
    <t xml:space="preserve">1. POST /auth/register with unique email and a 14-character password.</t>
  </si>
  <si>
    <t xml:space="preserve">HTTP 400 with a message stating the minimum length.</t>
  </si>
  <si>
    <t xml:space="preserve">Registration</t>
  </si>
  <si>
    <t xml:space="preserve">TC-REG-002</t>
  </si>
  <si>
    <t xml:space="preserve">Password of 15 characters accepted</t>
  </si>
  <si>
    <t xml:space="preserve">[Behavior] Oracle: REF-NIST-01, PO-10. Finding: N-06. BVA 15.</t>
  </si>
  <si>
    <t xml:space="preserve">1. POST /auth/register with a 15-character password.</t>
  </si>
  <si>
    <t xml:space="preserve">HTTP 201.</t>
  </si>
  <si>
    <t xml:space="preserve">TC-REG-003</t>
  </si>
  <si>
    <t xml:space="preserve">Password of 64 characters accepted</t>
  </si>
  <si>
    <t xml:space="preserve">[Behavior] Oracle: REF-NIST-01. Finding: -. Maximum supported length.</t>
  </si>
  <si>
    <t xml:space="preserve">1. POST /auth/register with a 64-character password.
2. Log in with the same password.</t>
  </si>
  <si>
    <t xml:space="preserve">Register 201 and login 200 (password not truncated).</t>
  </si>
  <si>
    <t xml:space="preserve">TC-REG-004</t>
  </si>
  <si>
    <t xml:space="preserve">Passphrase with spaces and no digits accepted</t>
  </si>
  <si>
    <t xml:space="preserve">[Behavior] Oracle: REF-NIST-01. Finding: -. No composition rules.</t>
  </si>
  <si>
    <t xml:space="preserve">1. POST /auth/register with password "correct horse battery staple".</t>
  </si>
  <si>
    <t xml:space="preserve">TC-REG-005</t>
  </si>
  <si>
    <t xml:space="preserve">Unicode password accepted</t>
  </si>
  <si>
    <t xml:space="preserve">[Behavior] Oracle: REF-NIST-01. Finding: -. Character set support.</t>
  </si>
  <si>
    <t xml:space="preserve">1. Register with password "contraseña-muy-segura-ñandú".
2. Log in with it.</t>
  </si>
  <si>
    <t xml:space="preserve">Register 201; login 200.</t>
  </si>
  <si>
    <t xml:space="preserve">TC-REG-006</t>
  </si>
  <si>
    <t xml:space="preserve">Blocklisted password rejected</t>
  </si>
  <si>
    <t xml:space="preserve">[Behavior] Oracle: REF-NIST-01. Finding: -. Common/compromised passwords.</t>
  </si>
  <si>
    <t xml:space="preserve">1. Register with password "passwordpassword".</t>
  </si>
  <si>
    <t xml:space="preserve">HTTP 400 asking for a less common password.</t>
  </si>
  <si>
    <t xml:space="preserve">TC-REG-007</t>
  </si>
  <si>
    <t xml:space="preserve">Duplicate email rejected</t>
  </si>
  <si>
    <t xml:space="preserve">[Behavior] Oracle: PO-08. Finding: -. Uniqueness.</t>
  </si>
  <si>
    <t xml:space="preserve">1. Register with qa@lumastay.app.</t>
  </si>
  <si>
    <t xml:space="preserve">HTTP 409 with error envelope.</t>
  </si>
  <si>
    <t xml:space="preserve">TC-REG-008</t>
  </si>
  <si>
    <t xml:space="preserve">Duplicate email with different case rejected</t>
  </si>
  <si>
    <t xml:space="preserve">[Behavior] Oracle: PO-11, PO-08. Finding: D-13. Normalised uniqueness.</t>
  </si>
  <si>
    <t xml:space="preserve">1. Register with QA@LUMASTAY.APP.</t>
  </si>
  <si>
    <t xml:space="preserve">HTTP 409; no second account created (DB count by lower(email) = 1).</t>
  </si>
  <si>
    <t xml:space="preserve">TC-REG-009</t>
  </si>
  <si>
    <t xml:space="preserve">Concurrent registration with same email</t>
  </si>
  <si>
    <t xml:space="preserve">[Behavior] Oracle: PO-08. Finding: D-18. Race on unique constraint.</t>
  </si>
  <si>
    <t xml:space="preserve">1. Send two register requests with the same new email concurrently.</t>
  </si>
  <si>
    <t xml:space="preserve">One 201 and one 409; never 500.</t>
  </si>
  <si>
    <t xml:space="preserve">TC-REG-010</t>
  </si>
  <si>
    <t xml:space="preserve">Phone is optional in API and UI</t>
  </si>
  <si>
    <t xml:space="preserve">[Behavior] Oracle: CONS. Finding: F-02. Optional field must be optional end to end.</t>
  </si>
  <si>
    <t xml:space="preserve">1. Register from UI leaving phone empty.</t>
  </si>
  <si>
    <t xml:space="preserve">Account created; phone stored as NULL.</t>
  </si>
  <si>
    <t xml:space="preserve">TC-REG-011</t>
  </si>
  <si>
    <t xml:space="preserve">Password stored as salted hash</t>
  </si>
  <si>
    <t xml:space="preserve">DB</t>
  </si>
  <si>
    <t xml:space="preserve">[Behavior] Oracle: REF-OWASP-01. Finding: -. Storage of credentials.</t>
  </si>
  <si>
    <t xml:space="preserve">1. Register two users with the same password.
2. Read password_hash for both.</t>
  </si>
  <si>
    <t xml:space="preserve">Hashes differ (salted) and none equals the plain password.</t>
  </si>
  <si>
    <t xml:space="preserve">TC-REG-012</t>
  </si>
  <si>
    <t xml:space="preserve">Registration form errors identify fields</t>
  </si>
  <si>
    <t xml:space="preserve">[Behavior] Oracle: REF-WCAG-01 (3.3.1, 3.3.2). Finding: F-10. Accessible validation.</t>
  </si>
  <si>
    <t xml:space="preserve">1. Submit register form with an invalid email and a short password.</t>
  </si>
  <si>
    <t xml:space="preserve">Each invalid field shows its own message associated with the field; the rule (min 15 characters) is stated before submitting.</t>
  </si>
  <si>
    <t xml:space="preserve">TC-SES-001</t>
  </si>
  <si>
    <t xml:space="preserve">Expired session requires sign-in with message</t>
  </si>
  <si>
    <t xml:space="preserve">[Behavior] Oracle: CONS. Finding: F-04. Session expiry handling.</t>
  </si>
  <si>
    <t xml:space="preserve">1. Sign in.
2. Replace the stored token with an expired one.
3. Open My bookings.</t>
  </si>
  <si>
    <t xml:space="preserve">User sees "session expired" and the sign-in screen; no silent empty list; no unhandled errors in console.</t>
  </si>
  <si>
    <t xml:space="preserve">Session</t>
  </si>
  <si>
    <t xml:space="preserve">TC-SES-002</t>
  </si>
  <si>
    <t xml:space="preserve">Tampered token rejected everywhere</t>
  </si>
  <si>
    <t xml:space="preserve">[Behavior] Oracle: REF-OWASP-01. Finding: -. Token integrity.</t>
  </si>
  <si>
    <t xml:space="preserve">1. Modify the payload of a valid token without re-signing.
2. Call GET /reservations.</t>
  </si>
  <si>
    <t xml:space="preserve">HTTP 401.</t>
  </si>
  <si>
    <t xml:space="preserve">TC-SES-003</t>
  </si>
  <si>
    <t xml:space="preserve">Logout ends session</t>
  </si>
  <si>
    <t xml:space="preserve">[Behavior] Oracle: CONS. Finding: -. Shared devices.</t>
  </si>
  <si>
    <t xml:space="preserve">1. Sign in.
2. Log out.
3. Reload.
4. Press browser Back.</t>
  </si>
  <si>
    <t xml:space="preserve">Sign-in screen in all cases; no personal data visible.</t>
  </si>
  <si>
    <t xml:space="preserve">TC-SES-004</t>
  </si>
  <si>
    <t xml:space="preserve">Session isolation between users</t>
  </si>
  <si>
    <t xml:space="preserve">[Behavior] Oracle: REF-OWASP-01. Finding: -. No data carry-over.</t>
  </si>
  <si>
    <t xml:space="preserve">1. User A searches and opens checkout.
2. Logout; user B signs in.</t>
  </si>
  <si>
    <t xml:space="preserve">No search, room, checkout or booking data from A is visible to B.</t>
  </si>
  <si>
    <t xml:space="preserve">TC-DAT-001</t>
  </si>
  <si>
    <t xml:space="preserve">Check-in in the past rejected (API)</t>
  </si>
  <si>
    <t xml:space="preserve">[Behavior] Oracle: PO-01, CONS. Finding: D-04. Undeliverable stays.</t>
  </si>
  <si>
    <t xml:space="preserve">1. POST /search with check-in = yesterday, check-out = tomorrow.</t>
  </si>
  <si>
    <t xml:space="preserve">HTTP 400 with a message about check-in date.</t>
  </si>
  <si>
    <t xml:space="preserve">Search - Dates</t>
  </si>
  <si>
    <t xml:space="preserve">TC-DAT-002</t>
  </si>
  <si>
    <t xml:space="preserve">Check-in today accepted</t>
  </si>
  <si>
    <t xml:space="preserve">[Behavior] Oracle: PO-01. Finding: -. BVA today.</t>
  </si>
  <si>
    <t xml:space="preserve">1. POST /search with check-in = today, check-out = today + 1.</t>
  </si>
  <si>
    <t xml:space="preserve">HTTP 200.</t>
  </si>
  <si>
    <t xml:space="preserve">TC-DAT-003</t>
  </si>
  <si>
    <t xml:space="preserve">Date picker minimum is today</t>
  </si>
  <si>
    <t xml:space="preserve">[Behavior] Oracle: PO-01. Finding: D-04. UI prevents past dates.</t>
  </si>
  <si>
    <t xml:space="preserve">1. Open search.
2. Read min of check-in input and try to type yesterday.</t>
  </si>
  <si>
    <t xml:space="preserve">min = today; yesterday cannot be submitted.</t>
  </si>
  <si>
    <t xml:space="preserve">TC-DAT-004</t>
  </si>
  <si>
    <t xml:space="preserve">Default dates are not in the past</t>
  </si>
  <si>
    <t xml:space="preserve">[Behavior] Oracle: PO-01, CONS. Finding: D-04. Defaults must be valid.</t>
  </si>
  <si>
    <t xml:space="preserve">1. Open search without changing dates.</t>
  </si>
  <si>
    <t xml:space="preserve">Default check-in &gt;= today and check-out &gt; check-in.</t>
  </si>
  <si>
    <t xml:space="preserve">TC-DAT-005</t>
  </si>
  <si>
    <t xml:space="preserve">Length of stay 30 nights accepted</t>
  </si>
  <si>
    <t xml:space="preserve">[Behavior] Oracle: REF-BKG-01, PO-02. Finding: N-05. BVA 30.</t>
  </si>
  <si>
    <t xml:space="preserve">1. POST /search with a 30-night stay inside the inventory horizon.</t>
  </si>
  <si>
    <t xml:space="preserve">TC-DAT-006</t>
  </si>
  <si>
    <t xml:space="preserve">Length of stay 31 nights rejected</t>
  </si>
  <si>
    <t xml:space="preserve">[Behavior] Oracle: REF-BKG-01, PO-02. Finding: N-05. BVA 31.</t>
  </si>
  <si>
    <t xml:space="preserve">1. POST /search with a 31-night stay.</t>
  </si>
  <si>
    <t xml:space="preserve">HTTP 400 with message about maximum stay.</t>
  </si>
  <si>
    <t xml:space="preserve">TC-DAT-007</t>
  </si>
  <si>
    <t xml:space="preserve">Check-out must be after check-in</t>
  </si>
  <si>
    <t xml:space="preserve">[Behavior] Oracle: CONS. Finding: -. Zero-night stay.</t>
  </si>
  <si>
    <t xml:space="preserve">1. POST /search with check-out = check-in.</t>
  </si>
  <si>
    <t xml:space="preserve">HTTP 400 identifying check-out.</t>
  </si>
  <si>
    <t xml:space="preserve">TC-DAT-008</t>
  </si>
  <si>
    <t xml:space="preserve">Invalid calendar date rejected</t>
  </si>
  <si>
    <t xml:space="preserve">[Behavior] Oracle: REF-HTTP-01, CONS. Finding: -. Syntactically valid but impossible dates.</t>
  </si>
  <si>
    <t xml:space="preserve">1. POST /search with check-in "2026-02-30".
2. POST /search with "2026-13-01".</t>
  </si>
  <si>
    <t xml:space="preserve">HTTP 400 for both; never 500.</t>
  </si>
  <si>
    <t xml:space="preserve">TC-DAT-009</t>
  </si>
  <si>
    <t xml:space="preserve">Dates beyond inventory horizon give an informative empty result</t>
  </si>
  <si>
    <t xml:space="preserve">[Behavior] Oracle: PO-01, CONS. Finding: -. Future without published rates.</t>
  </si>
  <si>
    <t xml:space="preserve">1. Search with check-in after the last published inventory date.</t>
  </si>
  <si>
    <t xml:space="preserve">HTTP 200 with empty results or HTTP 400 with a message about the booking horizon (as defined by PO); UI explains why.</t>
  </si>
  <si>
    <t xml:space="preserve">TC-DAT-010</t>
  </si>
  <si>
    <t xml:space="preserve">Stay crossing month and year boundaries</t>
  </si>
  <si>
    <t xml:space="preserve">[Behavior] Oracle: CONS. Finding: -. Date arithmetic.</t>
  </si>
  <si>
    <t xml:space="preserve">1. Search 2026-12-30 to 2027-01-02 (when inventory exists).</t>
  </si>
  <si>
    <t xml:space="preserve">Nights = 3; totals use the rate of each night.</t>
  </si>
  <si>
    <t xml:space="preserve">TC-OCC-001</t>
  </si>
  <si>
    <t xml:space="preserve">Child age required for each child (UI)</t>
  </si>
  <si>
    <t xml:space="preserve">[Gap] Oracle: REF-BKG-04, REF-EXP-03, PO-04. Finding: N-03. Age selector per child.</t>
  </si>
  <si>
    <t xml:space="preserve">1. Increase children to 2.</t>
  </si>
  <si>
    <t xml:space="preserve">Two age selectors (0–17) appear; search is blocked until both are set.</t>
  </si>
  <si>
    <t xml:space="preserve">Search - Occupancy</t>
  </si>
  <si>
    <t xml:space="preserve">TC-OCC-002</t>
  </si>
  <si>
    <t xml:space="preserve">Child age required (API)</t>
  </si>
  <si>
    <t xml:space="preserve">[Gap] Oracle: REF-BKG-04, PO-04. Finding: N-03. Contract requires ages.</t>
  </si>
  <si>
    <t xml:space="preserve">1. POST /search with children 2 and no ages.</t>
  </si>
  <si>
    <t xml:space="preserve">HTTP 400 requiring childAges.</t>
  </si>
  <si>
    <t xml:space="preserve">TC-OCC-003</t>
  </si>
  <si>
    <t xml:space="preserve">Child age out of range</t>
  </si>
  <si>
    <t xml:space="preserve">[Gap] Oracle: REF-BKG-04, PO-04. Finding: N-03. BVA 17/18.</t>
  </si>
  <si>
    <t xml:space="preserve">1. Search with child ages [17].
2. Search with child ages [18].</t>
  </si>
  <si>
    <t xml:space="preserve">[17] accepted; [18] rejected with 400 (18 counts as adult).</t>
  </si>
  <si>
    <t xml:space="preserve">TC-OCC-004</t>
  </si>
  <si>
    <t xml:space="preserve">Room with minimum guest age excludes children</t>
  </si>
  <si>
    <t xml:space="preserve">[Gap] Oracle: REF-EXP-03. Finding: N-03. Age eligibility.</t>
  </si>
  <si>
    <t xml:space="preserve">1. Configure (DB) a room type that does not accept guests under 18.
2. Search with 1 child aged 5.</t>
  </si>
  <si>
    <t xml:space="preserve">That room type is not offered.</t>
  </si>
  <si>
    <t xml:space="preserve">TC-OCC-005</t>
  </si>
  <si>
    <t xml:space="preserve">Up to 8 rooms accepted</t>
  </si>
  <si>
    <t xml:space="preserve">[Behavior] Oracle: REF-EXP-02, PO-03. Finding: N-05. BVA 8.</t>
  </si>
  <si>
    <t xml:space="preserve">1. Search with 8 rooms and 8 adults.</t>
  </si>
  <si>
    <t xml:space="preserve">TC-OCC-006</t>
  </si>
  <si>
    <t xml:space="preserve">More than 8 rooms rejected</t>
  </si>
  <si>
    <t xml:space="preserve">[Behavior] Oracle: REF-EXP-02, PO-03. Finding: N-05. BVA 9.</t>
  </si>
  <si>
    <t xml:space="preserve">1. Search with 9 rooms and 9 adults.</t>
  </si>
  <si>
    <t xml:space="preserve">HTTP 400 with maximum rooms message.</t>
  </si>
  <si>
    <t xml:space="preserve">TC-OCC-007</t>
  </si>
  <si>
    <t xml:space="preserve">Room count cannot exceed adults</t>
  </si>
  <si>
    <t xml:space="preserve">[Behavior] Oracle: PO-03. Finding: -. Each room needs an adult.</t>
  </si>
  <si>
    <t xml:space="preserve">1. Search with 3 rooms and 2 adults.</t>
  </si>
  <si>
    <t xml:space="preserve">HTTP 400.</t>
  </si>
  <si>
    <t xml:space="preserve">TC-OCC-008</t>
  </si>
  <si>
    <t xml:space="preserve">Party distributed across rooms fits</t>
  </si>
  <si>
    <t xml:space="preserve">[Behavior] Oracle: REF-BKG-04, PO-03. Finding: -. Capacity per room, not total.</t>
  </si>
  <si>
    <t xml:space="preserve">1. Search Barcelona (room capacity 2 adults) with 4 adults and 2 rooms.</t>
  </si>
  <si>
    <t xml:space="preserve">Barcelona Beach Stay offered (2 + 2 allocation fits).</t>
  </si>
  <si>
    <t xml:space="preserve">TC-OCC-009</t>
  </si>
  <si>
    <t xml:space="preserve">Party exceeding room capacity for single room excluded</t>
  </si>
  <si>
    <t xml:space="preserve">[Behavior] Oracle: REF-BKG-04. Finding: -. Capacity negative case.</t>
  </si>
  <si>
    <t xml:space="preserve">1. Search Barcelona with 4 adults and 1 room.</t>
  </si>
  <si>
    <t xml:space="preserve">Barcelona Beach Stay not offered.</t>
  </si>
  <si>
    <t xml:space="preserve">TC-OCC-010</t>
  </si>
  <si>
    <t xml:space="preserve">Per-room allocation input</t>
  </si>
  <si>
    <t xml:space="preserve">[Gap] Oracle: REF-BKG-04. Finding: N-04. Multi-room allocation.</t>
  </si>
  <si>
    <t xml:space="preserve">1. Select 2 rooms.</t>
  </si>
  <si>
    <t xml:space="preserve">User can set adults and children (with ages) for each room; each room requires &gt;= 1 adult.</t>
  </si>
  <si>
    <t xml:space="preserve">TC-OCC-011</t>
  </si>
  <si>
    <t xml:space="preserve">Guest steppers have upper limits</t>
  </si>
  <si>
    <t xml:space="preserve">[Behavior] Oracle: REF-EXP-02, PO-03. Finding: F-08. Bounded inputs.</t>
  </si>
  <si>
    <t xml:space="preserve">1. Increase rooms beyond 8.</t>
  </si>
  <si>
    <t xml:space="preserve">Increment control disabled at 8 with an explanation.</t>
  </si>
  <si>
    <t xml:space="preserve">TC-PRC-001</t>
  </si>
  <si>
    <t xml:space="preserve">Results show total stay price including taxes</t>
  </si>
  <si>
    <t xml:space="preserve">[Behavior] Oracle: REF-LFPC-01, REF-FTC-01, PO-06. Finding: N-01. Total price transparency.</t>
  </si>
  <si>
    <t xml:space="preserve">1. Search Barcelona STAY, 2 adults.
2. Read the price on the hotel card.</t>
  </si>
  <si>
    <t xml:space="preserve">Card shows total for 3 nights including taxes (e.g., 765.60 EUR), labelled as total; nightly price, if shown, is secondary.</t>
  </si>
  <si>
    <t xml:space="preserve">Search - Prices &amp; Currency</t>
  </si>
  <si>
    <t xml:space="preserve">TC-PRC-002</t>
  </si>
  <si>
    <t xml:space="preserve">Results total equals checkout total</t>
  </si>
  <si>
    <t xml:space="preserve">[Behavior] Oracle: REF-LFPC-02, CONS. Finding: N-01. Same price across steps.</t>
  </si>
  <si>
    <t xml:space="preserve">1. Note card total for the cheapest room.
2. Open that room checkout.</t>
  </si>
  <si>
    <t xml:space="preserve">Checkout total equals the card total to the cent.</t>
  </si>
  <si>
    <t xml:space="preserve">TC-PRC-003</t>
  </si>
  <si>
    <t xml:space="preserve">API search returns total price with taxes</t>
  </si>
  <si>
    <t xml:space="preserve">[Behavior] Oracle: REF-LFPC-01, PO-06. Finding: N-01. Contract supports total display.</t>
  </si>
  <si>
    <t xml:space="preserve">1. POST /search Barcelona STAY.</t>
  </si>
  <si>
    <t xml:space="preserve">Each result includes a total for the stay including taxes and its currency.</t>
  </si>
  <si>
    <t xml:space="preserve">TC-PRC-004</t>
  </si>
  <si>
    <t xml:space="preserve">Currency switch never relabels an amount</t>
  </si>
  <si>
    <t xml:space="preserve">[Behavior] Oracle: REF-LFPC-02, PO-07. Finding: F-01. Misleading currency.</t>
  </si>
  <si>
    <t xml:space="preserve">1. Search Barcelona (EUR).
2. Switch display currency to MXN and USD.</t>
  </si>
  <si>
    <t xml:space="preserve">Amounts remain in EUR or show converted values labelled approximate with the charge currency stated; never the EUR number with MXN/USD symbol.</t>
  </si>
  <si>
    <t xml:space="preserve">TC-PRC-005</t>
  </si>
  <si>
    <t xml:space="preserve">Zero-decimal currencies displayed correctly</t>
  </si>
  <si>
    <t xml:space="preserve">[Behavior] Oracle: REF-ISO-01. Finding: -. JPY/CLP formatting.</t>
  </si>
  <si>
    <t xml:space="preserve">1. Search Tokyo and Santiago.</t>
  </si>
  <si>
    <t xml:space="preserve">JPY and CLP totals shown without decimals; EUR/USD/MXN with 2 decimals where totals are shown.</t>
  </si>
  <si>
    <t xml:space="preserve">TC-PRC-006</t>
  </si>
  <si>
    <t xml:space="preserve">Weekend nights priced per night</t>
  </si>
  <si>
    <t xml:space="preserve">[Behavior] Oracle: CONS. Finding: D-17. Total equals sum of nightly prices.</t>
  </si>
  <si>
    <t xml:space="preserve">1. Search Barcelona WKND (220, 260, 260).</t>
  </si>
  <si>
    <t xml:space="preserve">Stay subtotal = 740.00 (sum of nights), taxes 118.40, total 858.40; no averaging rounding error.</t>
  </si>
  <si>
    <t xml:space="preserve">TC-PRC-007</t>
  </si>
  <si>
    <t xml:space="preserve">Hotel availability consistent with room availability</t>
  </si>
  <si>
    <t xml:space="preserve">[Behavior] Oracle: CONS. Finding: D-08. Sold-out night.</t>
  </si>
  <si>
    <t xml:space="preserve">1. Set units=0 on the second night for the only room of htl_502.
2. Search Barcelona STAY.
3. Restore.</t>
  </si>
  <si>
    <t xml:space="preserve">htl_502 not listed as available.</t>
  </si>
  <si>
    <t xml:space="preserve">TC-PRC-008</t>
  </si>
  <si>
    <t xml:space="preserve">Destination accent and case tolerant</t>
  </si>
  <si>
    <t xml:space="preserve">[Behavior] Oracle: CONS. Finding: -. Real users type without accents.</t>
  </si>
  <si>
    <t xml:space="preserve">1. Search "bogota" and "Bogotá".</t>
  </si>
  <si>
    <t xml:space="preserve">Same results for both.</t>
  </si>
  <si>
    <t xml:space="preserve">TC-PRC-009</t>
  </si>
  <si>
    <t xml:space="preserve">Destination wildcard treated literally</t>
  </si>
  <si>
    <t xml:space="preserve">[Behavior] Oracle: REF-OWASP-01, CONS. Finding: D-10. Pattern injection.</t>
  </si>
  <si>
    <t xml:space="preserve">1. Search destination "%".</t>
  </si>
  <si>
    <t xml:space="preserve">No hotels from arbitrary cities; empty results or 400.</t>
  </si>
  <si>
    <t xml:space="preserve">TC-PRC-010</t>
  </si>
  <si>
    <t xml:space="preserve">Partial destination suggestion</t>
  </si>
  <si>
    <t xml:space="preserve">[Gap] Oracle: CONS. Finding: -. Discoverability of destinations.</t>
  </si>
  <si>
    <t xml:space="preserve">1. Type "Barc" in destination.</t>
  </si>
  <si>
    <t xml:space="preserve">Suggestions include "Barcelona, España".</t>
  </si>
  <si>
    <t xml:space="preserve">TC-FLT-001</t>
  </si>
  <si>
    <t xml:space="preserve">Free cancellation filter</t>
  </si>
  <si>
    <t xml:space="preserve">[Gap] Oracle: REF-DSP-01. Finding: N-10. Filter by refundable rates.</t>
  </si>
  <si>
    <t xml:space="preserve">1. Search Cancún.
2. Enable Free cancellation filter.</t>
  </si>
  <si>
    <t xml:space="preserve">Only hotels with at least one FLEX or STD rate are shown; NRF-only hotels hidden.</t>
  </si>
  <si>
    <t xml:space="preserve">Sort &amp; Filters</t>
  </si>
  <si>
    <t xml:space="preserve">TC-FLT-002</t>
  </si>
  <si>
    <t xml:space="preserve">Sort by total price ascending</t>
  </si>
  <si>
    <t xml:space="preserve">[Behavior] Oracle: PO-06, CONS. Finding: -. Sort uses displayed price.</t>
  </si>
  <si>
    <t xml:space="preserve">1. Search Ciudad de México sorted by lowest price.</t>
  </si>
  <si>
    <t xml:space="preserve">Results ordered by total stay price ascending (numeric).</t>
  </si>
  <si>
    <t xml:space="preserve">TC-FLT-003</t>
  </si>
  <si>
    <t xml:space="preserve">Sort by rating descending</t>
  </si>
  <si>
    <t xml:space="preserve">[Behavior] Oracle: CONS. Finding: -. Rating order.</t>
  </si>
  <si>
    <t xml:space="preserve">1. Search Ciudad de México sorted by top rated.</t>
  </si>
  <si>
    <t xml:space="preserve">htl_101 (9.1) before htl_102 (8.8).</t>
  </si>
  <si>
    <t xml:space="preserve">TC-FLT-004</t>
  </si>
  <si>
    <t xml:space="preserve">Price filter uses the displayed price basis</t>
  </si>
  <si>
    <t xml:space="preserve">[Behavior] Oracle: PO-06, CONS. Finding: D-09. Mixed weekday/weekend stay.</t>
  </si>
  <si>
    <t xml:space="preserve">1. Search Barcelona WKND with max nightly price 250.</t>
  </si>
  <si>
    <t xml:space="preserve">Inclusion follows the same price shown to the user (documented basis); hotel not dropped because one night exceeds the limit if the displayed price fits.</t>
  </si>
  <si>
    <t xml:space="preserve">TC-FLT-005</t>
  </si>
  <si>
    <t xml:space="preserve">Minimum rating filter</t>
  </si>
  <si>
    <t xml:space="preserve">[Behavior] Oracle: CONS. Finding: -. Rating threshold.</t>
  </si>
  <si>
    <t xml:space="preserve">1. Search Ciudad de México with min rating 9.</t>
  </si>
  <si>
    <t xml:space="preserve">Only hotels rated &gt;= 9.</t>
  </si>
  <si>
    <t xml:space="preserve">TC-FLT-006</t>
  </si>
  <si>
    <t xml:space="preserve">Property type options from catalogue</t>
  </si>
  <si>
    <t xml:space="preserve">[Behavior] Oracle: CONS. Finding: F-09. Filter completeness.</t>
  </si>
  <si>
    <t xml:space="preserve">1. Open filters.
2. Compare with DISTINCT property_type.</t>
  </si>
  <si>
    <t xml:space="preserve">Every catalogue type selectable.</t>
  </si>
  <si>
    <t xml:space="preserve">TC-FLT-007</t>
  </si>
  <si>
    <t xml:space="preserve">Amenity filter case and language</t>
  </si>
  <si>
    <t xml:space="preserve">[Behavior] Oracle: CONS. Finding: -. Amenity matching.</t>
  </si>
  <si>
    <t xml:space="preserve">1. Filter Cancún by amenity "Pool" in English UI.</t>
  </si>
  <si>
    <t xml:space="preserve">Hotels with pool (stored as "Alberca") are returned.</t>
  </si>
  <si>
    <t xml:space="preserve">TC-FLT-008</t>
  </si>
  <si>
    <t xml:space="preserve">Inverted price range rejected</t>
  </si>
  <si>
    <t xml:space="preserve">[Behavior] Oracle: PO-08. Finding: -. Validation.</t>
  </si>
  <si>
    <t xml:space="preserve">1. Search with minPrice 500 and maxPrice 100.</t>
  </si>
  <si>
    <t xml:space="preserve">TC-FLT-009</t>
  </si>
  <si>
    <t xml:space="preserve">Filters do not change offer prices</t>
  </si>
  <si>
    <t xml:space="preserve">[Behavior] Oracle: CONS. Finding: -. Stability.</t>
  </si>
  <si>
    <t xml:space="preserve">1. Note a hotel total.
2. Apply and remove filters/sort.</t>
  </si>
  <si>
    <t xml:space="preserve">Hotel total unchanged.</t>
  </si>
  <si>
    <t xml:space="preserve">TC-ROM-001</t>
  </si>
  <si>
    <t xml:space="preserve">FLEX rate shows deadline and penalty</t>
  </si>
  <si>
    <t xml:space="preserve">[Behavior] Oracle: REF-EXP-01, REF-BKG-02, PO-05. Finding: N-02. Cancellation terms before booking.</t>
  </si>
  <si>
    <t xml:space="preserve">1. Search a stay with check-in in 10 days.
2. Open a hotel with a FLEX room.</t>
  </si>
  <si>
    <t xml:space="preserve">Room shows "Free cancellation until &lt;check-in − 48 h, date and time&gt;" and "then 1 night charge".</t>
  </si>
  <si>
    <t xml:space="preserve">Rooms &amp; Rate Conditions</t>
  </si>
  <si>
    <t xml:space="preserve">TC-ROM-002</t>
  </si>
  <si>
    <t xml:space="preserve">STD rate shows deadline and penalty</t>
  </si>
  <si>
    <t xml:space="preserve">[Behavior] Oracle: REF-EXP-01, PO-05. Finding: N-02. Cancellation terms.</t>
  </si>
  <si>
    <t xml:space="preserve">1. Open htl_101 rooms for a stay in 10 days.</t>
  </si>
  <si>
    <t xml:space="preserve">Suite Familiar (STD) shows free cancellation until check-in − 7 days, then 50% charge.</t>
  </si>
  <si>
    <t xml:space="preserve">TC-ROM-003</t>
  </si>
  <si>
    <t xml:space="preserve">NRF rate labelled non-refundable</t>
  </si>
  <si>
    <t xml:space="preserve">[Behavior] Oracle: REF-EXP-01, REF-BKG-02. Finding: N-02. Non-refundable tag.</t>
  </si>
  <si>
    <t xml:space="preserve">1. Open htl_201 rooms.</t>
  </si>
  <si>
    <t xml:space="preserve">Suite Club Mar shows "Non-refundable" before selection.</t>
  </si>
  <si>
    <t xml:space="preserve">TC-ROM-004</t>
  </si>
  <si>
    <t xml:space="preserve">Rate whose free window already passed</t>
  </si>
  <si>
    <t xml:space="preserve">[Behavior] Oracle: REF-EXP-01, PO-05. Finding: N-02. Deadline in the past at booking time.</t>
  </si>
  <si>
    <t xml:space="preserve">1. Search a FLEX room with check-in tomorrow.</t>
  </si>
  <si>
    <t xml:space="preserve">Room does not claim free cancellation; shows the penalty that applies immediately.</t>
  </si>
  <si>
    <t xml:space="preserve">TC-ROM-005</t>
  </si>
  <si>
    <t xml:space="preserve">Room card shows total including taxes</t>
  </si>
  <si>
    <t xml:space="preserve">[Behavior] Oracle: REF-LFPC-01, PO-06. Finding: N-01. Total per room.</t>
  </si>
  <si>
    <t xml:space="preserve">1. Open htl_101 rooms for STAY and 2 rooms.</t>
  </si>
  <si>
    <t xml:space="preserve">Each card shows total for all nights and rooms incl. taxes.</t>
  </si>
  <si>
    <t xml:space="preserve">TC-ROM-006</t>
  </si>
  <si>
    <t xml:space="preserve">Room details: capacity, beds, board</t>
  </si>
  <si>
    <t xml:space="preserve">[Behavior] Oracle: REF-DSP-01. Finding: -. Room description.</t>
  </si>
  <si>
    <t xml:space="preserve">1. Open htl_101 rooms.</t>
  </si>
  <si>
    <t xml:space="preserve">Each room shows capacity, bed type and board plan.</t>
  </si>
  <si>
    <t xml:space="preserve">TC-ROM-007</t>
  </si>
  <si>
    <t xml:space="preserve">API exposes structured cancellation penalties</t>
  </si>
  <si>
    <t xml:space="preserve">[Behavior] Oracle: REF-EXP-01. Finding: N-02. Contract for policy.</t>
  </si>
  <si>
    <t xml:space="preserve">1. GET availability for htl_101.</t>
  </si>
  <si>
    <t xml:space="preserve">Each room/rate has refundable flag and penalties with start/end datetime and type (amount, nights, percent).</t>
  </si>
  <si>
    <t xml:space="preserve">TC-ROM-008</t>
  </si>
  <si>
    <t xml:space="preserve">Unknown hotel returns 404</t>
  </si>
  <si>
    <t xml:space="preserve">[Behavior] Oracle: PO-08, REF-HTTP-01. Finding: D-11. Resource existence.</t>
  </si>
  <si>
    <t xml:space="preserve">1. GET /hotels/htl_999/availability with valid dates.</t>
  </si>
  <si>
    <t xml:space="preserve">HTTP 404.</t>
  </si>
  <si>
    <t xml:space="preserve">TC-ROM-009</t>
  </si>
  <si>
    <t xml:space="preserve">Non-castable availability parameters</t>
  </si>
  <si>
    <t xml:space="preserve">[Behavior] Oracle: REF-HTTP-01. Finding: D-11. Client errors.</t>
  </si>
  <si>
    <t xml:space="preserve">1. GET availability with checkIn=abc&amp;checkOut=xyz.
2. GET availability with adults=abc.</t>
  </si>
  <si>
    <t xml:space="preserve">TC-ROM-010</t>
  </si>
  <si>
    <t xml:space="preserve">Rooms load failure visible with retry</t>
  </si>
  <si>
    <t xml:space="preserve">[Behavior] Oracle: CONS. Finding: F-06. Resilience.</t>
  </si>
  <si>
    <t xml:space="preserve">1. Mock availability to return 500.
2. Open hotel.</t>
  </si>
  <si>
    <t xml:space="preserve">Error message and retry control visible.</t>
  </si>
  <si>
    <t xml:space="preserve">TC-ROM-011</t>
  </si>
  <si>
    <t xml:space="preserve">No available rooms message</t>
  </si>
  <si>
    <t xml:space="preserve">[Behavior] Oracle: CONS. Finding: -. Empty state.</t>
  </si>
  <si>
    <t xml:space="preserve">1. Mock availability rooms [].
2. Open hotel.</t>
  </si>
  <si>
    <t xml:space="preserve">Message explains no rooms for the selected dates/guests and suggests changing them.</t>
  </si>
  <si>
    <t xml:space="preserve">TC-CHK-001</t>
  </si>
  <si>
    <t xml:space="preserve">Checkout total with minor units</t>
  </si>
  <si>
    <t xml:space="preserve">[Behavior] Oracle: REF-LFPC-01, REF-ISO-01, PO-07. Finding: N-07. Exact amount displayed.</t>
  </si>
  <si>
    <t xml:space="preserve">1. Open checkout for Barcelona STAY 1 room.</t>
  </si>
  <si>
    <t xml:space="preserve">Subtotal 660.00, taxes 105.60, total 765.60 EUR.</t>
  </si>
  <si>
    <t xml:space="preserve">Checkout - Total</t>
  </si>
  <si>
    <t xml:space="preserve">TC-CHK-002</t>
  </si>
  <si>
    <t xml:space="preserve">Charged amount equals displayed total</t>
  </si>
  <si>
    <t xml:space="preserve">[Behavior] Oracle: REF-LFPC-01, REF-LFPC-02. Finding: N-07. Displayed = charged.</t>
  </si>
  <si>
    <t xml:space="preserve">1. Read checkout total.
2. Pay and capture API response and payments.amount.</t>
  </si>
  <si>
    <t xml:space="preserve">All three equal to the cent.</t>
  </si>
  <si>
    <t xml:space="preserve">TC-CHK-003</t>
  </si>
  <si>
    <t xml:space="preserve">Weekend stay total uses nightly sum</t>
  </si>
  <si>
    <t xml:space="preserve">[Behavior] Oracle: CONS. Finding: D-17. Rounding.</t>
  </si>
  <si>
    <t xml:space="preserve">1. Book Barcelona WKND, 2 rooms.</t>
  </si>
  <si>
    <t xml:space="preserve">Subtotal = (220+260+260) x 2 = 1480.00; taxes 236.80; total 1716.80.</t>
  </si>
  <si>
    <t xml:space="preserve">TC-CHK-004</t>
  </si>
  <si>
    <t xml:space="preserve">Cancellation terms shown above pay button</t>
  </si>
  <si>
    <t xml:space="preserve">[Behavior] Oracle: REF-EXP-01. Finding: N-02. Informed consent.</t>
  </si>
  <si>
    <t xml:space="preserve">1. Open checkout for a FLEX, a STD and an NRF rate.</t>
  </si>
  <si>
    <t xml:space="preserve">Each shows its terms (deadline/penalty or Non-refundable) before the pay button.</t>
  </si>
  <si>
    <t xml:space="preserve">TC-CHK-005</t>
  </si>
  <si>
    <t xml:space="preserve">Price change disclosed before charge</t>
  </si>
  <si>
    <t xml:space="preserve">[Behavior] Oracle: REF-LFPC-02. Finding: -. Honour offered price.</t>
  </si>
  <si>
    <t xml:space="preserve">1. Open checkout.
2. Increase rate_override in DB for one night.
3. Press pay.</t>
  </si>
  <si>
    <t xml:space="preserve">User sees the new total and must confirm; or the original price is honoured. Never charged a different amount silently.</t>
  </si>
  <si>
    <t xml:space="preserve">TC-CHK-006</t>
  </si>
  <si>
    <t xml:space="preserve">Tax rate consistent with pricing service</t>
  </si>
  <si>
    <t xml:space="preserve">[Behavior] Oracle: CONS. Finding: F-03. Single source of truth.</t>
  </si>
  <si>
    <t xml:space="preserve">1. Start backend with TAX_RATE 0.10.
2. Open checkout and pay.</t>
  </si>
  <si>
    <t xml:space="preserve">Displayed taxes = charged taxes.</t>
  </si>
  <si>
    <t xml:space="preserve">TC-CHK-007</t>
  </si>
  <si>
    <t xml:space="preserve">Checkout summary shows full stay details</t>
  </si>
  <si>
    <t xml:space="preserve">[Behavior] Oracle: REF-LFPC-02. Finding: -. Conditions offered.</t>
  </si>
  <si>
    <t xml:space="preserve">1. Open checkout.</t>
  </si>
  <si>
    <t xml:space="preserve">Hotel, room, dates, nights, guests (with child ages when available), rooms, board plan, total and currency visible.</t>
  </si>
  <si>
    <t xml:space="preserve">TC-CHK-008</t>
  </si>
  <si>
    <t xml:space="preserve">JPY checkout without decimals</t>
  </si>
  <si>
    <t xml:space="preserve">[Behavior] Oracle: REF-ISO-01. Finding: -. Zero minor units.</t>
  </si>
  <si>
    <t xml:space="preserve">1. Open checkout for Tokyo Shibuya Premium.</t>
  </si>
  <si>
    <t xml:space="preserve">Amounts in JPY without decimals; total equals charged amount.</t>
  </si>
  <si>
    <t xml:space="preserve">TC-PAY-001</t>
  </si>
  <si>
    <t xml:space="preserve">Luhn-valid card accepted</t>
  </si>
  <si>
    <t xml:space="preserve">[Behavior] Oracle: REF-ISO-02. Finding: N-11. Positive.</t>
  </si>
  <si>
    <t xml:space="preserve">1. Pay with 4111111111111111, future expiry, CVV 123.</t>
  </si>
  <si>
    <t xml:space="preserve">Payment request sent; booking confirmed.</t>
  </si>
  <si>
    <t xml:space="preserve">Checkout - Guest &amp; Payment Data</t>
  </si>
  <si>
    <t xml:space="preserve">TC-PAY-002</t>
  </si>
  <si>
    <t xml:space="preserve">Luhn-invalid card rejected (UI)</t>
  </si>
  <si>
    <t xml:space="preserve">[Behavior] Oracle: REF-ISO-02. Finding: N-11. Check digit.</t>
  </si>
  <si>
    <t xml:space="preserve">1. Pay with 4111111111111112.</t>
  </si>
  <si>
    <t xml:space="preserve">Inline "invalid card number" on the card field; no request sent.</t>
  </si>
  <si>
    <t xml:space="preserve">TC-PAY-003</t>
  </si>
  <si>
    <t xml:space="preserve">Luhn-invalid card rejected (API)</t>
  </si>
  <si>
    <t xml:space="preserve">[Behavior] Oracle: REF-ISO-02. Finding: N-11, D-14. Server validation.</t>
  </si>
  <si>
    <t xml:space="preserve">1. POST /reservations with cardNumber 4111111111111112.</t>
  </si>
  <si>
    <t xml:space="preserve">HTTP 400; no booking.</t>
  </si>
  <si>
    <t xml:space="preserve">TC-PAY-004</t>
  </si>
  <si>
    <t xml:space="preserve">Non-numeric card number rejected (API)</t>
  </si>
  <si>
    <t xml:space="preserve">[Behavior] Oracle: REF-ISO-02. Finding: D-14. Server validation.</t>
  </si>
  <si>
    <t xml:space="preserve">1. POST /reservations with cardNumber "abcdefghijklmnop".</t>
  </si>
  <si>
    <t xml:space="preserve">TC-PAY-005</t>
  </si>
  <si>
    <t xml:space="preserve">Expiry month out of range</t>
  </si>
  <si>
    <t xml:space="preserve">[Behavior] Oracle: CONS. Finding: D-14. BVA 00/01/12/13.</t>
  </si>
  <si>
    <t xml:space="preserve">1. Pay with months 00, 01, 12, 13 (future year).</t>
  </si>
  <si>
    <t xml:space="preserve">00 and 13 rejected; 01 and 12 accepted.</t>
  </si>
  <si>
    <t xml:space="preserve">TC-PAY-006</t>
  </si>
  <si>
    <t xml:space="preserve">Expired card rejected</t>
  </si>
  <si>
    <t xml:space="preserve">[Behavior] Oracle: CONS. Finding: D-14. Past expiry.</t>
  </si>
  <si>
    <t xml:space="preserve">1. POST /reservations with expiry = last month.
2. Repeat with current month.</t>
  </si>
  <si>
    <t xml:space="preserve">Last month: 400. Current month: accepted (card valid through end of month).</t>
  </si>
  <si>
    <t xml:space="preserve">TC-PAY-007</t>
  </si>
  <si>
    <t xml:space="preserve">CVV length by brand</t>
  </si>
  <si>
    <t xml:space="preserve">[Behavior] Oracle: CONS. Finding: D-14. Visa 3, Amex 4.</t>
  </si>
  <si>
    <t xml:space="preserve">1. Pay with Visa and CVV 1234.
2. Pay with Amex test number 378282246310005 and CVV 123.
3. Pay with Amex and CVV 1234.</t>
  </si>
  <si>
    <t xml:space="preserve">Visa 4-digit and Amex 3-digit rejected; Amex 4-digit accepted.</t>
  </si>
  <si>
    <t xml:space="preserve">TC-PAY-008</t>
  </si>
  <si>
    <t xml:space="preserve">CVV not persisted</t>
  </si>
  <si>
    <t xml:space="preserve">[Behavior] Oracle: REF-PCI-01. Finding: -. Sensitive authentication data.</t>
  </si>
  <si>
    <t xml:space="preserve">1. Book with CVV 987.
2. Search all DB text columns and application logs for "987" in card context.</t>
  </si>
  <si>
    <t xml:space="preserve">CVV absent from DB, logs and responses.</t>
  </si>
  <si>
    <t xml:space="preserve">TC-PAY-009</t>
  </si>
  <si>
    <t xml:space="preserve">Full PAN never displayed or stored in clear</t>
  </si>
  <si>
    <t xml:space="preserve">[Behavior] Oracle: REF-PCI-01. Finding: -. PAN handling.</t>
  </si>
  <si>
    <t xml:space="preserve">1. Book with 4111111111111111.
2. Check DB, logs, API responses and UI.</t>
  </si>
  <si>
    <t xml:space="preserve">Full PAN absent; any display is masked (max first 6 + last 4).</t>
  </si>
  <si>
    <t xml:space="preserve">TC-PAY-010</t>
  </si>
  <si>
    <t xml:space="preserve">Invalid buyer email rejected inline</t>
  </si>
  <si>
    <t xml:space="preserve">[Behavior] Oracle: REF-WCAG-01 (3.3.1). Finding: -. Email format.</t>
  </si>
  <si>
    <t xml:space="preserve">1. Enter "ana@" in buyer email and pay.</t>
  </si>
  <si>
    <t xml:space="preserve">Inline message on the email field in the UI language; no request sent.</t>
  </si>
  <si>
    <t xml:space="preserve">TC-PAY-011</t>
  </si>
  <si>
    <t xml:space="preserve">All checkout fields have labels</t>
  </si>
  <si>
    <t xml:space="preserve">[Behavior] Oracle: REF-WCAG-01 (1.3.1, 3.3.2, 4.1.2). Finding: F-10. Accessible form.</t>
  </si>
  <si>
    <t xml:space="preserve">1. Locate each checkout field with getByLabel.</t>
  </si>
  <si>
    <t xml:space="preserve">All 14 fields found by label.</t>
  </si>
  <si>
    <t xml:space="preserve">TC-PAY-012</t>
  </si>
  <si>
    <t xml:space="preserve">Required fields reported together or in order</t>
  </si>
  <si>
    <t xml:space="preserve">[Behavior] Oracle: REF-WCAG-01 (3.3.1). Finding: -. Error identification.</t>
  </si>
  <si>
    <t xml:space="preserve">1. Submit an empty checkout form.</t>
  </si>
  <si>
    <t xml:space="preserve">Every missing field is identified (or focus moves to the first invalid field with its message).</t>
  </si>
  <si>
    <t xml:space="preserve">TC-PAY-013</t>
  </si>
  <si>
    <t xml:space="preserve">Card autofill attributes</t>
  </si>
  <si>
    <t xml:space="preserve">[Behavior] Oracle: REF-WCAG-01 (1.3.5). Finding: -. Input purpose.</t>
  </si>
  <si>
    <t xml:space="preserve">1. Inspect card and personal fields.</t>
  </si>
  <si>
    <t xml:space="preserve">autocomplete attributes present (cc-number, cc-exp-month, cc-exp-year, cc-csc, email, tel, street-address, postal-code, country).</t>
  </si>
  <si>
    <t xml:space="preserve">TC-BKG-001</t>
  </si>
  <si>
    <t xml:space="preserve">Approved payment creates one confirmed booking</t>
  </si>
  <si>
    <t xml:space="preserve">[Behavior] Oracle: CONS. Finding: -. Happy path.</t>
  </si>
  <si>
    <t xml:space="preserve">1. POST /reservations with sandbox_card and valid data.</t>
  </si>
  <si>
    <t xml:space="preserve">HTTP 201; status confirmed; unique confirmation number; total matches quote.</t>
  </si>
  <si>
    <t xml:space="preserve">Booking &amp; Confirmation</t>
  </si>
  <si>
    <t xml:space="preserve">TC-BKG-002</t>
  </si>
  <si>
    <t xml:space="preserve">Double submit creates one booking</t>
  </si>
  <si>
    <t xml:space="preserve">[Behavior] Oracle: REF-HTTP-01. Finding: -. Duplicate prevention.</t>
  </si>
  <si>
    <t xml:space="preserve">1. Double-click Pay now.
2. Count bookings in DB for this checkout.</t>
  </si>
  <si>
    <t xml:space="preserve">Exactly one booking and one charge.</t>
  </si>
  <si>
    <t xml:space="preserve">TC-BKG-003</t>
  </si>
  <si>
    <t xml:space="preserve">Retried request with same idempotency key</t>
  </si>
  <si>
    <t xml:space="preserve">[Gap] Oracle: REF-HTTP-01. Finding: -. Network retry safety.</t>
  </si>
  <si>
    <t xml:space="preserve">1. Send POST /reservations twice with the same Idempotency-Key header.</t>
  </si>
  <si>
    <t xml:space="preserve">Second call returns the first booking; no duplicate.</t>
  </si>
  <si>
    <t xml:space="preserve">TC-BKG-004</t>
  </si>
  <si>
    <t xml:space="preserve">Declined payment creates no booking</t>
  </si>
  <si>
    <t xml:space="preserve">[Behavior] Oracle: PO-09. Finding: D-01. No phantom bookings.</t>
  </si>
  <si>
    <t xml:space="preserve">1. POST /reservations with sandbox_declined.
2. GET /reservations.
3. Read inventory.</t>
  </si>
  <si>
    <t xml:space="preserve">Response indicates payment declined; no booking listed; inventory unchanged.</t>
  </si>
  <si>
    <t xml:space="preserve">TC-BKG-005</t>
  </si>
  <si>
    <t xml:space="preserve">Declined payment retry in UI</t>
  </si>
  <si>
    <t xml:space="preserve">[Behavior] Oracle: PO-09. Finding: -. Recovery.</t>
  </si>
  <si>
    <t xml:space="preserve">1. Mock declined response.
2. Pay; then change card and pay again (real).</t>
  </si>
  <si>
    <t xml:space="preserve">Clear decline message; form data kept except CVV; second attempt confirms booking.</t>
  </si>
  <si>
    <t xml:space="preserve">TC-BKG-006</t>
  </si>
  <si>
    <t xml:space="preserve">Pending payment communicated</t>
  </si>
  <si>
    <t xml:space="preserve">[Behavior] Oracle: REF-LFPC-02. Finding: -. Status clarity.</t>
  </si>
  <si>
    <t xml:space="preserve">1. Mock pending response.
2. Pay.</t>
  </si>
  <si>
    <t xml:space="preserve">Screen explains the booking is not yet confirmed and what happens next.</t>
  </si>
  <si>
    <t xml:space="preserve">TC-BKG-007</t>
  </si>
  <si>
    <t xml:space="preserve">Confirmation contains agreed details</t>
  </si>
  <si>
    <t xml:space="preserve">[Behavior] Oracle: REF-BKG-02, REF-EXP-01. Finding: N-12. Proof of purchase.</t>
  </si>
  <si>
    <t xml:space="preserve">1. Complete booking.</t>
  </si>
  <si>
    <t xml:space="preserve">Confirmation shows number, hotel, room, dates, guests, total paid with currency and cancellation terms.</t>
  </si>
  <si>
    <t xml:space="preserve">TC-BKG-008</t>
  </si>
  <si>
    <t xml:space="preserve">Confirmation email sent</t>
  </si>
  <si>
    <t xml:space="preserve">[Gap] Oracle: REF-BKG-02, REF-BKG-05. Finding: N-08. Email with manage link.</t>
  </si>
  <si>
    <t xml:space="preserve">1. Complete booking with a test inbox (e.g., mail catcher).</t>
  </si>
  <si>
    <t xml:space="preserve">One email with the confirmation details and a manage-booking link.</t>
  </si>
  <si>
    <t xml:space="preserve">TC-BKG-009</t>
  </si>
  <si>
    <t xml:space="preserve">Booking inactive hotel rejected</t>
  </si>
  <si>
    <t xml:space="preserve">[Behavior] Oracle: PO-08, CONS. Finding: D-05. Bookability.</t>
  </si>
  <si>
    <t xml:space="preserve">1. Set hotel htl_502 status inactive.
2. POST /reservations for it.
3. Restore.</t>
  </si>
  <si>
    <t xml:space="preserve">HTTP 409; no booking, payment or inventory change.</t>
  </si>
  <si>
    <t xml:space="preserve">TC-BKG-010</t>
  </si>
  <si>
    <t xml:space="preserve">Booking over room capacity rejected</t>
  </si>
  <si>
    <t xml:space="preserve">[Behavior] Oracle: REF-BKG-04, PO-03. Finding: D-06. Capacity at booking time.</t>
  </si>
  <si>
    <t xml:space="preserve">1. POST /reservations rm_802 (2 adults/room) with 5 adults, 1 room.</t>
  </si>
  <si>
    <t xml:space="preserve">TC-BKG-011</t>
  </si>
  <si>
    <t xml:space="preserve">Booking past dates rejected</t>
  </si>
  <si>
    <t xml:space="preserve">[Behavior] Oracle: PO-01. Finding: D-04. Past stay.</t>
  </si>
  <si>
    <t xml:space="preserve">1. POST /reservations with check-in yesterday (inside seeded window).</t>
  </si>
  <si>
    <t xml:space="preserve">TC-BKG-012</t>
  </si>
  <si>
    <t xml:space="preserve">Booking more rooms than available</t>
  </si>
  <si>
    <t xml:space="preserve">[Behavior] Oracle: PO-08. Finding: -. Sold out.</t>
  </si>
  <si>
    <t xml:space="preserve">1. POST /reservations rm_802 with 3 rooms (2 units).</t>
  </si>
  <si>
    <t xml:space="preserve">HTTP 409 sold out; no partial booking.</t>
  </si>
  <si>
    <t xml:space="preserve">TC-BKG-013</t>
  </si>
  <si>
    <t xml:space="preserve">Booking more than 30 nights rejected</t>
  </si>
  <si>
    <t xml:space="preserve">[Behavior] Oracle: REF-BKG-01, PO-02. Finding: N-05. Max stay at booking.</t>
  </si>
  <si>
    <t xml:space="preserve">1. POST /reservations with 31 nights.</t>
  </si>
  <si>
    <t xml:space="preserve">TC-BKG-014</t>
  </si>
  <si>
    <t xml:space="preserve">Booking more than 8 rooms rejected</t>
  </si>
  <si>
    <t xml:space="preserve">[Behavior] Oracle: REF-EXP-02, PO-03. Finding: N-05. Max rooms at booking.</t>
  </si>
  <si>
    <t xml:space="preserve">1. POST /reservations with 9 rooms.</t>
  </si>
  <si>
    <t xml:space="preserve">TC-BKG-015</t>
  </si>
  <si>
    <t xml:space="preserve">Confirmation number format and uniqueness</t>
  </si>
  <si>
    <t xml:space="preserve">[Behavior] Oracle: CONS. Finding: D-16. Identifier quality.</t>
  </si>
  <si>
    <t xml:space="preserve">1. Create 20 bookings sequentially and 5 concurrently.</t>
  </si>
  <si>
    <t xml:space="preserve">All confirmation numbers unique; no 500.</t>
  </si>
  <si>
    <t xml:space="preserve">TC-LST-001</t>
  </si>
  <si>
    <t xml:space="preserve">Only own bookings listed</t>
  </si>
  <si>
    <t xml:space="preserve">[Behavior] Oracle: REF-OWASP-01 (API1). Finding: -. BOLA.</t>
  </si>
  <si>
    <t xml:space="preserve">1. User A and B create bookings.
2. A lists bookings.</t>
  </si>
  <si>
    <t xml:space="preserve">Only A bookings.</t>
  </si>
  <si>
    <t xml:space="preserve">My Bookings</t>
  </si>
  <si>
    <t xml:space="preserve">TC-LST-002</t>
  </si>
  <si>
    <t xml:space="preserve">Other user booking detail not accessible</t>
  </si>
  <si>
    <t xml:space="preserve">[Behavior] Oracle: REF-OWASP-01 (API1). Finding: -. BOLA detail.</t>
  </si>
  <si>
    <t xml:space="preserve">1. B GETs /reservations/{A id}.</t>
  </si>
  <si>
    <t xml:space="preserve">HTTP 404; no A data.</t>
  </si>
  <si>
    <t xml:space="preserve">TC-LST-003</t>
  </si>
  <si>
    <t xml:space="preserve">Stay dates returned as calendar dates</t>
  </si>
  <si>
    <t xml:space="preserve">[Behavior] Oracle: CONS. Finding: D-15, CD-05. Date serialization.</t>
  </si>
  <si>
    <t xml:space="preserve">1. Book 2026-09-28 to 2026-10-01 (adjust to horizon).
2. GET /reservations.</t>
  </si>
  <si>
    <t xml:space="preserve">checkIn "YYYY-MM-DD" equals requested; no time or day shift.</t>
  </si>
  <si>
    <t xml:space="preserve">TC-LST-004</t>
  </si>
  <si>
    <t xml:space="preserve">Stay dates displayed correctly in UI</t>
  </si>
  <si>
    <t xml:space="preserve">[Behavior] Oracle: CONS. Finding: D-15. Date display.</t>
  </si>
  <si>
    <t xml:space="preserve">1. Open My bookings.</t>
  </si>
  <si>
    <t xml:space="preserve">Same calendar dates as booked, formatted per language.</t>
  </si>
  <si>
    <t xml:space="preserve">TC-LST-005</t>
  </si>
  <si>
    <t xml:space="preserve">Amount shown in booking currency with decimals</t>
  </si>
  <si>
    <t xml:space="preserve">[Behavior] Oracle: REF-ISO-01, PO-07. Finding: F-01, N-07. Amount display.</t>
  </si>
  <si>
    <t xml:space="preserve">1. Book EUR 765.60.
2. Display currency MXN.
3. Open My bookings.</t>
  </si>
  <si>
    <t xml:space="preserve">Shows 765.60 EUR.</t>
  </si>
  <si>
    <t xml:space="preserve">TC-LST-006</t>
  </si>
  <si>
    <t xml:space="preserve">Declined attempts not listed as bookings</t>
  </si>
  <si>
    <t xml:space="preserve">[Behavior] Oracle: PO-09. Finding: F-05. No phantom items.</t>
  </si>
  <si>
    <t xml:space="preserve">1. Create declined attempt via API.
2. Open My bookings.</t>
  </si>
  <si>
    <t xml:space="preserve">Not listed (or listed as "payment failed" without cancel action, per PO).</t>
  </si>
  <si>
    <t xml:space="preserve">TC-LST-007</t>
  </si>
  <si>
    <t xml:space="preserve">Status labels translated</t>
  </si>
  <si>
    <t xml:space="preserve">[Behavior] Oracle: CONS. Finding: F-07. i18n.</t>
  </si>
  <si>
    <t xml:space="preserve">1. Spanish UI, open My bookings.</t>
  </si>
  <si>
    <t xml:space="preserve">Confirmada / Pendiente / Cancelada labels.</t>
  </si>
  <si>
    <t xml:space="preserve">TC-LST-008</t>
  </si>
  <si>
    <t xml:space="preserve">Booking list numeric types</t>
  </si>
  <si>
    <t xml:space="preserve">[Behavior] Oracle: CONS. Finding: CD-04. Contract types.</t>
  </si>
  <si>
    <t xml:space="preserve">1. GET /reservations.</t>
  </si>
  <si>
    <t xml:space="preserve">totalAmount is a JSON number.</t>
  </si>
  <si>
    <t xml:space="preserve">TC-LST-009</t>
  </si>
  <si>
    <t xml:space="preserve">Booking detail shows cancellation terms and deadline</t>
  </si>
  <si>
    <t xml:space="preserve">[Behavior] Oracle: REF-BKG-02. Finding: N-02. Terms after booking.</t>
  </si>
  <si>
    <t xml:space="preserve">1. Open a FLEX booking detail.</t>
  </si>
  <si>
    <t xml:space="preserve">Current cancellation terms and deadline visible.</t>
  </si>
  <si>
    <t xml:space="preserve">TC-CNL-001</t>
  </si>
  <si>
    <t xml:space="preserve">FLEX cancel before deadline full refund</t>
  </si>
  <si>
    <t xml:space="preserve">[Behavior] Oracle: REF-BKG-02, PO-05. Finding: D-07. Free window.</t>
  </si>
  <si>
    <t xml:space="preserve">1. Book FLEX with check-in in 10 days.
2. Cancel now.</t>
  </si>
  <si>
    <t xml:space="preserve">HTTP 200; refund = total.</t>
  </si>
  <si>
    <t xml:space="preserve">Cancellation</t>
  </si>
  <si>
    <t xml:space="preserve">TC-CNL-002</t>
  </si>
  <si>
    <t xml:space="preserve">FLEX cancel after deadline one night penalty</t>
  </si>
  <si>
    <t xml:space="preserve">[Behavior] Oracle: REF-EXP-01, PO-05. Finding: D-07. Penalty in nights.</t>
  </si>
  <si>
    <t xml:space="preserve">1. Book FLEX with check-in tomorrow (inside 48 h).
2. Cancel.</t>
  </si>
  <si>
    <t xml:space="preserve">Refund = total − price of first night (incl. taxes).</t>
  </si>
  <si>
    <t xml:space="preserve">TC-CNL-003</t>
  </si>
  <si>
    <t xml:space="preserve">STD cancel 8 days before full refund</t>
  </si>
  <si>
    <t xml:space="preserve">[Behavior] Oracle: PO-05. Finding: D-07. BVA outside 7 days.</t>
  </si>
  <si>
    <t xml:space="preserve">1. Book STD with check-in in 8 days.
2. Cancel.</t>
  </si>
  <si>
    <t xml:space="preserve">Refund = total.</t>
  </si>
  <si>
    <t xml:space="preserve">TC-CNL-004</t>
  </si>
  <si>
    <t xml:space="preserve">STD cancel 3 days before 50 percent</t>
  </si>
  <si>
    <t xml:space="preserve">[Behavior] Oracle: REF-EXP-01, PO-05. Finding: D-07. Percentage penalty.</t>
  </si>
  <si>
    <t xml:space="preserve">1. Book STD with check-in in 3 days.
2. Cancel.</t>
  </si>
  <si>
    <t xml:space="preserve">Refund = 50% of total.</t>
  </si>
  <si>
    <t xml:space="preserve">TC-CNL-005</t>
  </si>
  <si>
    <t xml:space="preserve">Deadline boundary exact time</t>
  </si>
  <si>
    <t xml:space="preserve">[Behavior] Oracle: REF-EXP-01, PO-05. Finding: -. BVA at deadline.</t>
  </si>
  <si>
    <t xml:space="preserve">1. Book FLEX; control time to deadline − 1 min, then deadline + 1 min.
2. Cancel in each case.</t>
  </si>
  <si>
    <t xml:space="preserve">Before: full refund. After: penalty applies. Deadline evaluated in property local time.</t>
  </si>
  <si>
    <t xml:space="preserve">TC-CNL-006</t>
  </si>
  <si>
    <t xml:space="preserve">NRF cannot be cancelled online (API)</t>
  </si>
  <si>
    <t xml:space="preserve">[Behavior] Oracle: REF-BKG-03, PO-05. Finding: D-07. Non-refundable.</t>
  </si>
  <si>
    <t xml:space="preserve">1. Book rm_402 NRF.
2. POST cancel.</t>
  </si>
  <si>
    <t xml:space="preserve">HTTP 409; booking stays confirmed; no refund.</t>
  </si>
  <si>
    <t xml:space="preserve">TC-CNL-007</t>
  </si>
  <si>
    <t xml:space="preserve">NRF has no cancel action (UI)</t>
  </si>
  <si>
    <t xml:space="preserve">[Behavior] Oracle: REF-BKG-03. Finding: D-07, F-05. UI rule.</t>
  </si>
  <si>
    <t xml:space="preserve">1. Open My bookings with an NRF booking.</t>
  </si>
  <si>
    <t xml:space="preserve">No cancel button; terms explain non-refundable.</t>
  </si>
  <si>
    <t xml:space="preserve">TC-CNL-008</t>
  </si>
  <si>
    <t xml:space="preserve">Penalty shown before confirming cancellation</t>
  </si>
  <si>
    <t xml:space="preserve">[Behavior] Oracle: REF-EXP-01, REF-LFPC-02. Finding: F-05. Informed cancellation.</t>
  </si>
  <si>
    <t xml:space="preserve">1. Cancel a FLEX booking inside 48 h.</t>
  </si>
  <si>
    <t xml:space="preserve">Dialog shows penalty and refund; cancelling requires confirmation; declining keeps booking.</t>
  </si>
  <si>
    <t xml:space="preserve">TC-CNL-009</t>
  </si>
  <si>
    <t xml:space="preserve">No cancellation after check-in</t>
  </si>
  <si>
    <t xml:space="preserve">[Behavior] Oracle: CONS. Finding: D-07. Started stay.</t>
  </si>
  <si>
    <t xml:space="preserve">1. Create booking with check-in yesterday (DB).
2. Cancel.</t>
  </si>
  <si>
    <t xml:space="preserve">HTTP 409.</t>
  </si>
  <si>
    <t xml:space="preserve">TC-CNL-010</t>
  </si>
  <si>
    <t xml:space="preserve">Cancel twice concurrently</t>
  </si>
  <si>
    <t xml:space="preserve">[Behavior] Oracle: PO-08. Finding: -. Race.</t>
  </si>
  <si>
    <t xml:space="preserve">1. Send 2 cancel requests at once.</t>
  </si>
  <si>
    <t xml:space="preserve">One 200, one 409; single refund; inventory +1 per night once.</t>
  </si>
  <si>
    <t xml:space="preserve">TC-CNL-011</t>
  </si>
  <si>
    <t xml:space="preserve">Cancelling restores exact inventory</t>
  </si>
  <si>
    <t xml:space="preserve">[Behavior] Oracle: CONS. Finding: D-01. Inventory math.</t>
  </si>
  <si>
    <t xml:space="preserve">1. Record units.
2. Book 2 rooms FLEX; cancel.</t>
  </si>
  <si>
    <t xml:space="preserve">Units equal the recorded values.</t>
  </si>
  <si>
    <t xml:space="preserve">TC-CNL-012</t>
  </si>
  <si>
    <t xml:space="preserve">Refund recorded in payments</t>
  </si>
  <si>
    <t xml:space="preserve">[Behavior] Oracle: CONS. Finding: D-19. Financial trace.</t>
  </si>
  <si>
    <t xml:space="preserve">1. Cancel FLEX with full refund.</t>
  </si>
  <si>
    <t xml:space="preserve">Payment/refund record with refunded amount; refund_amount set only at cancellation.</t>
  </si>
  <si>
    <t xml:space="preserve">TC-CNL-013</t>
  </si>
  <si>
    <t xml:space="preserve">Refund amount not set at booking</t>
  </si>
  <si>
    <t xml:space="preserve">[Behavior] Oracle: CONS. Finding: D-03. Premature refund.</t>
  </si>
  <si>
    <t xml:space="preserve">1. Book FLEX; read refund_amount.</t>
  </si>
  <si>
    <t xml:space="preserve">NULL or 0.</t>
  </si>
  <si>
    <t xml:space="preserve">TC-CNL-014</t>
  </si>
  <si>
    <t xml:space="preserve">Cancellation confirmation email</t>
  </si>
  <si>
    <t xml:space="preserve">[Gap] Oracle: REF-BKG-03. Finding: N-08. Proof of cancellation.</t>
  </si>
  <si>
    <t xml:space="preserve">1. Cancel with test inbox.</t>
  </si>
  <si>
    <t xml:space="preserve">Email with cancellation number/booking, refund amount.</t>
  </si>
  <si>
    <t xml:space="preserve">TC-CNL-015</t>
  </si>
  <si>
    <t xml:space="preserve">Other user cannot cancel</t>
  </si>
  <si>
    <t xml:space="preserve">[Behavior] Oracle: REF-OWASP-01. Finding: -. BOLA write.</t>
  </si>
  <si>
    <t xml:space="preserve">1. B cancels A booking.</t>
  </si>
  <si>
    <t xml:space="preserve">HTTP 404; booking unchanged.</t>
  </si>
  <si>
    <t xml:space="preserve">TC-CNL-016</t>
  </si>
  <si>
    <t xml:space="preserve">Cancel error visible in UI</t>
  </si>
  <si>
    <t xml:space="preserve">[Behavior] Oracle: CONS. Finding: F-05. Error handling.</t>
  </si>
  <si>
    <t xml:space="preserve">1. Mock cancel 500.
2. Cancel.</t>
  </si>
  <si>
    <t xml:space="preserve">Error message; status unchanged; no unhandled rejection.</t>
  </si>
  <si>
    <t xml:space="preserve">TC-MOD-001</t>
  </si>
  <si>
    <t xml:space="preserve">Change dates within free cancellation</t>
  </si>
  <si>
    <t xml:space="preserve">[Gap] Oracle: REF-BKG-02. Finding: N-09. Modify booking.</t>
  </si>
  <si>
    <t xml:space="preserve">1. Open a FLEX booking inside free window.
2. Change check-in by +1 day.</t>
  </si>
  <si>
    <t xml:space="preserve">Price difference shown; after confirming, same confirmation number with new dates.</t>
  </si>
  <si>
    <t xml:space="preserve">Booking Modification</t>
  </si>
  <si>
    <t xml:space="preserve">TC-MOD-002</t>
  </si>
  <si>
    <t xml:space="preserve">Modification not allowed for NRF</t>
  </si>
  <si>
    <t xml:space="preserve">[Gap] Oracle: REF-BKG-02, REF-BKG-03. Finding: N-09. NRF changes.</t>
  </si>
  <si>
    <t xml:space="preserve">1. Open NRF booking.</t>
  </si>
  <si>
    <t xml:space="preserve">No change option; terms explain why.</t>
  </si>
  <si>
    <t xml:space="preserve">TC-INV-001</t>
  </si>
  <si>
    <t xml:space="preserve">Concurrent booking of last units</t>
  </si>
  <si>
    <t xml:space="preserve">[Behavior] Oracle: CONS. Finding: D-02. Overbooking.</t>
  </si>
  <si>
    <t xml:space="preserve">1. Set rm_802 to 2 units for STAY.
2. Send 5 concurrent bookings of 1 room.</t>
  </si>
  <si>
    <t xml:space="preserve">Exactly 2 confirmed, 3 HTTP 409; units 0; never negative.</t>
  </si>
  <si>
    <t xml:space="preserve">Inventory Integrity</t>
  </si>
  <si>
    <t xml:space="preserve">TC-INV-002</t>
  </si>
  <si>
    <t xml:space="preserve">Pending booking holds inventory with expiry</t>
  </si>
  <si>
    <t xml:space="preserve">[Behavior] Oracle: CONS, PO. Finding: -. Pending lifecycle.</t>
  </si>
  <si>
    <t xml:space="preserve">1. Create pending booking.
2. Read units.
3. Simulate pending expiry/decline.</t>
  </si>
  <si>
    <t xml:space="preserve">Units held while pending and released when payment fails or expires.</t>
  </si>
  <si>
    <t xml:space="preserve">TC-INV-003</t>
  </si>
  <si>
    <t xml:space="preserve">Declined payment holds no inventory</t>
  </si>
  <si>
    <t xml:space="preserve">[Behavior] Oracle: PO-09. Finding: D-01. No hold.</t>
  </si>
  <si>
    <t xml:space="preserve">1. Record units; create declined attempt; re-read.</t>
  </si>
  <si>
    <t xml:space="preserve">Unchanged.</t>
  </si>
  <si>
    <t xml:space="preserve">TC-INV-004</t>
  </si>
  <si>
    <t xml:space="preserve">Transaction atomicity on failure</t>
  </si>
  <si>
    <t xml:space="preserve">[Behavior] Oracle: CONS. Finding: -. No partial writes.</t>
  </si>
  <si>
    <t xml:space="preserve">1. Force a failure after booking insert (e.g., token for non-existent user).</t>
  </si>
  <si>
    <t xml:space="preserve">No booking, payment or event rows; inventory unchanged; response not 500 for auth issue.</t>
  </si>
  <si>
    <t xml:space="preserve">TC-INV-005</t>
  </si>
  <si>
    <t xml:space="preserve">Reseed or reset keeps bookings and inventory consistent</t>
  </si>
  <si>
    <t xml:space="preserve">[Behavior] Oracle: CONS. Finding: -. Test data management.</t>
  </si>
  <si>
    <t xml:space="preserve">1. Create booking.
2. Run data reset procedure.</t>
  </si>
  <si>
    <t xml:space="preserve">Either both bookings and inventory are reset, or inventory reflects existing bookings.</t>
  </si>
  <si>
    <t xml:space="preserve">TC-API-001</t>
  </si>
  <si>
    <t xml:space="preserve">Malformed JSON is 400</t>
  </si>
  <si>
    <t xml:space="preserve">[Behavior] Oracle: REF-HTTP-01, PO-08. Finding: D-12. Client error.</t>
  </si>
  <si>
    <t xml:space="preserve">1. POST /auth/login with body "{bad".</t>
  </si>
  <si>
    <t xml:space="preserve">HTTP 400 envelope with correlation id.</t>
  </si>
  <si>
    <t xml:space="preserve">API Semantics &amp; Contract</t>
  </si>
  <si>
    <t xml:space="preserve">TC-API-002</t>
  </si>
  <si>
    <t xml:space="preserve">Unknown route 404 envelope</t>
  </si>
  <si>
    <t xml:space="preserve">[Behavior] Oracle: REF-HTTP-01. Finding: -. Consistent errors.</t>
  </si>
  <si>
    <t xml:space="preserve">1. GET /api/v1/nope.</t>
  </si>
  <si>
    <t xml:space="preserve">HTTP 404 JSON envelope.</t>
  </si>
  <si>
    <t xml:space="preserve">TC-API-003</t>
  </si>
  <si>
    <t xml:space="preserve">Client input never produces 5xx</t>
  </si>
  <si>
    <t xml:space="preserve">[Behavior] Oracle: REF-HTTP-01, PO-08. Finding: D-11. Robustness sweep.</t>
  </si>
  <si>
    <t xml:space="preserve">1. Send boundary/invalid values to every endpoint (types, empty, huge strings 10k chars, negative numbers).</t>
  </si>
  <si>
    <t xml:space="preserve">All responses 4xx; none 5xx.</t>
  </si>
  <si>
    <t xml:space="preserve">TC-API-004</t>
  </si>
  <si>
    <t xml:space="preserve">Responses match published contract</t>
  </si>
  <si>
    <t xml:space="preserve">[Behavior] Oracle: CONS (claims). Finding: CD-01..CD-05. Schema validation.</t>
  </si>
  <si>
    <t xml:space="preserve">1. Validate each endpoint response against OpenAPI schemas.</t>
  </si>
  <si>
    <t xml:space="preserve">All pass, including number and date types; all endpoints documented.</t>
  </si>
  <si>
    <t xml:space="preserve">TC-API-005</t>
  </si>
  <si>
    <t xml:space="preserve">Correlation id propagated</t>
  </si>
  <si>
    <t xml:space="preserve">[Behavior] Oracle: CONS. Finding: -. Traceability.</t>
  </si>
  <si>
    <t xml:space="preserve">1. Send x-correlation-id.
2. Trigger an error.</t>
  </si>
  <si>
    <t xml:space="preserve">Header echoed; body correlationId equal.</t>
  </si>
  <si>
    <t xml:space="preserve">TC-API-006</t>
  </si>
  <si>
    <t xml:space="preserve">Oversized payload rejected</t>
  </si>
  <si>
    <t xml:space="preserve">[Behavior] Oracle: REF-OWASP-01 (API4). Finding: -. Resource consumption.</t>
  </si>
  <si>
    <t xml:space="preserve">1. POST /search with a 2 MB JSON body.</t>
  </si>
  <si>
    <t xml:space="preserve">HTTP 413 or 400; server stays responsive.</t>
  </si>
  <si>
    <t xml:space="preserve">TC-API-007</t>
  </si>
  <si>
    <t xml:space="preserve">Search pagination or result limit</t>
  </si>
  <si>
    <t xml:space="preserve">[Behavior] Oracle: REF-OWASP-01 (API4). Finding: -. Unbounded results.</t>
  </si>
  <si>
    <t xml:space="preserve">1. Search with a wildcard-free but broad query in a city with many hotels (seed more if needed).</t>
  </si>
  <si>
    <t xml:space="preserve">Results are paginated or capped with a documented limit.</t>
  </si>
  <si>
    <t xml:space="preserve">TC-API-008</t>
  </si>
  <si>
    <t xml:space="preserve">Health check reports the service as up with the documented body</t>
  </si>
  <si>
    <t xml:space="preserve">[Behavior] Oracle: CONS (claims: Tech Spec 6.1). Finding: CD-01. Readiness signal used by CI and by the entry criteria; endpoint is not described in OpenAPI.</t>
  </si>
  <si>
    <t xml:space="preserve">1. GET /health without Authorization header.</t>
  </si>
  <si>
    <t xml:space="preserve">HTTP 200; JSON body with status = "ok" and service = "lumastay-backend".</t>
  </si>
  <si>
    <t xml:space="preserve">TC-API-009</t>
  </si>
  <si>
    <t xml:space="preserve">Destinations list matches the documented contract</t>
  </si>
  <si>
    <t xml:space="preserve">[Behavior] Oracle: CONS (claims: Tech Spec 6.4). Finding: -. Data source of the destination selector.</t>
  </si>
  <si>
    <t xml:space="preserve">1. GET /api/v1/destinations without Authorization header.</t>
  </si>
  <si>
    <t xml:space="preserve">HTTP 200; body { destinations: [...] } with at least one item; each item has city and country (non-empty strings) and hotelCount (integer &gt;= 1); no duplicate city + country pairs.</t>
  </si>
  <si>
    <t xml:space="preserve">TC-API-010</t>
  </si>
  <si>
    <t xml:space="preserve">Destinations are ordered by city ascending</t>
  </si>
  <si>
    <t xml:space="preserve">[Behavior] Oracle: CONS (claims: Tech Spec 6.4). Finding: -. Predictable order in the selector.</t>
  </si>
  <si>
    <t xml:space="preserve">1. GET /api/v1/destinations.
2. Compare the sequence of city values with the same list sorted ascending.</t>
  </si>
  <si>
    <t xml:space="preserve">Both sequences are identical.</t>
  </si>
  <si>
    <t xml:space="preserve">TC-API-011</t>
  </si>
  <si>
    <t xml:space="preserve">Destinations include only cities with active hotels</t>
  </si>
  <si>
    <t xml:space="preserve">[Behavior] Oracle: CONS (claims: Tech Spec 6.4). Finding: -. Inactive hotels must not be discoverable (related to DEF_LS_API_001).</t>
  </si>
  <si>
    <t xml:space="preserve">1. Insert a hotel with status 'inactive' in a city that exists only for this test.
2. GET /api/v1/destinations.
3. Compare each hotelCount with: SELECT city, country, COUNT(*) FROM hotels WHERE status = 'active' GROUP BY city, country.
4. Delete the test hotel.</t>
  </si>
  <si>
    <t xml:space="preserve">The test city is absent; every city, country and hotelCount equals the query result.</t>
  </si>
  <si>
    <t xml:space="preserve">TC-SEC-001</t>
  </si>
  <si>
    <t xml:space="preserve">Security headers present</t>
  </si>
  <si>
    <t xml:space="preserve">[Behavior] Oracle: REF-OWASP-01. Finding: -. Baseline hardening.</t>
  </si>
  <si>
    <t xml:space="preserve">1. GET /health.</t>
  </si>
  <si>
    <t xml:space="preserve">nosniff and frame protections present; no x-powered-by.</t>
  </si>
  <si>
    <t xml:space="preserve">Security &amp; Privacy</t>
  </si>
  <si>
    <t xml:space="preserve">TC-SEC-002</t>
  </si>
  <si>
    <t xml:space="preserve">CORS restricted to known origins</t>
  </si>
  <si>
    <t xml:space="preserve">[Behavior] Oracle: REF-OWASP-01. Finding: D-18. Cross-origin.</t>
  </si>
  <si>
    <t xml:space="preserve">1. Request with Origin https://evil.example.</t>
  </si>
  <si>
    <t xml:space="preserve">No allow-origin for that origin.</t>
  </si>
  <si>
    <t xml:space="preserve">TC-SEC-003</t>
  </si>
  <si>
    <t xml:space="preserve">Unsigned or tampered JWT rejected</t>
  </si>
  <si>
    <t xml:space="preserve">[Behavior] Oracle: REF-OWASP-01 (API2). Finding: -. Token forgery.</t>
  </si>
  <si>
    <t xml:space="preserve">1. Send alg=none token.
2. Send token signed with default "dev_secret" in a non-local environment.</t>
  </si>
  <si>
    <t xml:space="preserve">HTTP 401 for both.</t>
  </si>
  <si>
    <t xml:space="preserve">TC-SEC-004</t>
  </si>
  <si>
    <t xml:space="preserve">Stored XSS rendered as text</t>
  </si>
  <si>
    <t xml:space="preserve">[Behavior] Oracle: REF-OWASP-01. Finding: -. Output encoding.</t>
  </si>
  <si>
    <t xml:space="preserve">1. Register name &lt;img src=x onerror=alert(1)&gt; and sign in.</t>
  </si>
  <si>
    <t xml:space="preserve">No dialog; literal text.</t>
  </si>
  <si>
    <t xml:space="preserve">TC-SEC-005</t>
  </si>
  <si>
    <t xml:space="preserve">Injection payloads do not break queries</t>
  </si>
  <si>
    <t xml:space="preserve">[Behavior] Oracle: REF-OWASP-01. Finding: -. Injection.</t>
  </si>
  <si>
    <t xml:space="preserve">1. Send ' OR 1=1 -- in destination and login email.</t>
  </si>
  <si>
    <t xml:space="preserve">No 5xx, no SQL text, no extra data.</t>
  </si>
  <si>
    <t xml:space="preserve">TC-SEC-006</t>
  </si>
  <si>
    <t xml:space="preserve">Personal data not exposed in URLs or logs</t>
  </si>
  <si>
    <t xml:space="preserve">[Behavior] Oracle: REF-OWASP-01, REF-PCI-01. Finding: -. Privacy.</t>
  </si>
  <si>
    <t xml:space="preserve">1. Complete booking recording network traffic.</t>
  </si>
  <si>
    <t xml:space="preserve">No email, card or token in query strings; card data only in the payment request body over TLS in deployed envs.</t>
  </si>
  <si>
    <t xml:space="preserve">TC-I18-001</t>
  </si>
  <si>
    <t xml:space="preserve">No mixed languages in Spanish flow</t>
  </si>
  <si>
    <t xml:space="preserve">[Behavior] Oracle: CONS. Finding: F-07. Complete translation.</t>
  </si>
  <si>
    <t xml:space="preserve">1. Spanish UI: search, results, detail, checkout with one validation error, confirmation, bookings.</t>
  </si>
  <si>
    <t xml:space="preserve">No English strings (including API messages and statuses).</t>
  </si>
  <si>
    <t xml:space="preserve">Localization</t>
  </si>
  <si>
    <t xml:space="preserve">TC-I18-002</t>
  </si>
  <si>
    <t xml:space="preserve">No mixed languages in English flow</t>
  </si>
  <si>
    <t xml:space="preserve">1. English UI: same flow.</t>
  </si>
  <si>
    <t xml:space="preserve">No Spanish strings ("Desde", "Volver", " a ", etc.).</t>
  </si>
  <si>
    <t xml:space="preserve">TC-I18-003</t>
  </si>
  <si>
    <t xml:space="preserve">Language preference persists</t>
  </si>
  <si>
    <t xml:space="preserve">[Behavior] Oracle: PO decision. Finding: -. Persistence.</t>
  </si>
  <si>
    <t xml:space="preserve">1. Choose English; reload.</t>
  </si>
  <si>
    <t xml:space="preserve">English kept.</t>
  </si>
  <si>
    <t xml:space="preserve">TC-I18-004</t>
  </si>
  <si>
    <t xml:space="preserve">Date formats follow language</t>
  </si>
  <si>
    <t xml:space="preserve">[Behavior] Oracle: CONS. Finding: -. Locale formats.</t>
  </si>
  <si>
    <t xml:space="preserve">1. Compare dates in es and en.</t>
  </si>
  <si>
    <t xml:space="preserve">Unambiguous localized format (e.g., 28 sep 2026 / Sep 28, 2026).</t>
  </si>
  <si>
    <t xml:space="preserve">TC-I18-005</t>
  </si>
  <si>
    <t xml:space="preserve">Number formats follow language</t>
  </si>
  <si>
    <t xml:space="preserve">[Behavior] Oracle: REF-ISO-01, CONS. Finding: -. Locale separators.</t>
  </si>
  <si>
    <t xml:space="preserve">1. Compare 6707.12 MXN in es-MX and en-US.</t>
  </si>
  <si>
    <t xml:space="preserve">Correct separators and 2 decimals in both.</t>
  </si>
  <si>
    <t xml:space="preserve">TC-A11-001</t>
  </si>
  <si>
    <t xml:space="preserve">Keyboard-only booking</t>
  </si>
  <si>
    <t xml:space="preserve">[Behavior] Oracle: REF-WCAG-01 (2.1.1, 2.4.7). Finding: F-10. Keyboard.</t>
  </si>
  <si>
    <t xml:space="preserve">1. Complete booking with keyboard only.</t>
  </si>
  <si>
    <t xml:space="preserve">All steps reachable; focus visible.</t>
  </si>
  <si>
    <t xml:space="preserve">Accessibility &amp; Responsive</t>
  </si>
  <si>
    <t xml:space="preserve">TC-A11-002</t>
  </si>
  <si>
    <t xml:space="preserve">Automated axe scan</t>
  </si>
  <si>
    <t xml:space="preserve">[Behavior] Oracle: REF-WCAG-01. Finding: F-10. Automated checks.</t>
  </si>
  <si>
    <t xml:space="preserve">1. Run @axe-core/playwright on key screens.</t>
  </si>
  <si>
    <t xml:space="preserve">No serious or critical violations.</t>
  </si>
  <si>
    <t xml:space="preserve">TC-A11-003</t>
  </si>
  <si>
    <t xml:space="preserve">Errors announced to assistive technology</t>
  </si>
  <si>
    <t xml:space="preserve">[Behavior] Oracle: REF-WCAG-01 (4.1.3). Finding: -. Status messages.</t>
  </si>
  <si>
    <t xml:space="preserve">1. Trigger validation and payment errors.</t>
  </si>
  <si>
    <t xml:space="preserve">Messages exposed via role=alert or aria-live.</t>
  </si>
  <si>
    <t xml:space="preserve">TC-A11-004</t>
  </si>
  <si>
    <t xml:space="preserve">Mobile booking without horizontal scroll</t>
  </si>
  <si>
    <t xml:space="preserve">[Behavior] Oracle: REF-WCAG-01 (1.4.10). Finding: -. Reflow.</t>
  </si>
  <si>
    <t xml:space="preserve">1. Complete booking on a 320 CSS px wide viewport.</t>
  </si>
  <si>
    <t xml:space="preserve">No horizontal scrolling of the page; all actions usable.</t>
  </si>
  <si>
    <t xml:space="preserve">TC-A11-005</t>
  </si>
  <si>
    <t xml:space="preserve">Touch target size</t>
  </si>
  <si>
    <t xml:space="preserve">[Behavior] Oracle: REF-WCAG-01 (2.5.8). Finding: -. Target size minimum.</t>
  </si>
  <si>
    <t xml:space="preserve">1. Measure steppers, filters and pay button on mobile.</t>
  </si>
  <si>
    <t xml:space="preserve">Targets at least 24x24 CSS px or sufficiently spaced.</t>
  </si>
  <si>
    <t xml:space="preserve">Execution summary (formulas recalculate from "Test Cases")</t>
  </si>
  <si>
    <t xml:space="preserve">Total</t>
  </si>
  <si>
    <t xml:space="preserve">Passed</t>
  </si>
  <si>
    <t xml:space="preserve">Failed</t>
  </si>
  <si>
    <t xml:space="preserve">Blocked</t>
  </si>
  <si>
    <t xml:space="preserve">Retest Passed</t>
  </si>
  <si>
    <t xml:space="preserve">Retest Failed</t>
  </si>
  <si>
    <t xml:space="preserve">Executed %</t>
  </si>
  <si>
    <t xml:space="preserve">Pass %</t>
  </si>
  <si>
    <t xml:space="preserve">TOTAL</t>
  </si>
  <si>
    <t xml:space="preserve">Executed % = (Total − Not run) / Total. Pass % = (Passed + Retest Passed) / executed cases.</t>
  </si>
  <si>
    <t xml:space="preserve">Source</t>
  </si>
  <si>
    <t xml:space="preserve">Rule used as expected result</t>
  </si>
  <si>
    <t xml:space="preserve">Link / basis</t>
  </si>
  <si>
    <t xml:space="preserve">REF-LFPC-01</t>
  </si>
  <si>
    <t xml:space="preserve">LFPC (México) art. 7 Bis</t>
  </si>
  <si>
    <t xml:space="preserve">Total amount to pay displayed notoriously, including taxes and any other charge.</t>
  </si>
  <si>
    <t xml:space="preserve">https://www.diputados.gob.mx/LeyesBiblio/pdf/LFPC.pdf</t>
  </si>
  <si>
    <t xml:space="preserve">REF-LFPC-02</t>
  </si>
  <si>
    <t xml:space="preserve">LFPC (México) art. 7</t>
  </si>
  <si>
    <t xml:space="preserve">Inform and honour prices, rates, terms, reservations and conditions offered.</t>
  </si>
  <si>
    <t xml:space="preserve">REF-FTC-01</t>
  </si>
  <si>
    <t xml:space="preserve">FTC 16 CFR Part 464 (effective 2025-05-12)</t>
  </si>
  <si>
    <t xml:space="preserve">Short-term lodging: total price disclosed clearly and prominently; no misrepresentation of fees or refundability.</t>
  </si>
  <si>
    <t xml:space="preserve">https://www.ftc.gov/business-guidance/resources/rule-unfair-or-deceptive-fees-frequently-asked-questions</t>
  </si>
  <si>
    <t xml:space="preserve">REF-BKG-01</t>
  </si>
  <si>
    <t xml:space="preserve">Booking.com for Partners</t>
  </si>
  <si>
    <t xml:space="preserve">Default max length of stay 30 nights (extendable to 45/60/75/90); min/max stay and advance-reservation restrictions.</t>
  </si>
  <si>
    <t xml:space="preserve">https://partner.booking.com/en-us/help/reservations/restrictions/setting-length-stay-and-advance-reservation-restrictions</t>
  </si>
  <si>
    <t xml:space="preserve">REF-BKG-02</t>
  </si>
  <si>
    <t xml:space="preserve">Booking.com FAQ</t>
  </si>
  <si>
    <t xml:space="preserve">Free cancellation within the stated time frame; non-refundable means a fee applies; policy shown during booking and in confirmation; changes from confirmation email or site.</t>
  </si>
  <si>
    <t xml:space="preserve">https://secure.booking.com/faq.en-us.html</t>
  </si>
  <si>
    <t xml:space="preserve">REF-BKG-03</t>
  </si>
  <si>
    <t xml:space="preserve">Booking.com FAQ (payments by Booking.com)</t>
  </si>
  <si>
    <t xml:space="preserve">Non-refundable bookings cannot be cancelled or changed online; cancellation confirmation email.</t>
  </si>
  <si>
    <t xml:space="preserve">https://www.booking.com/tpi_faq.html</t>
  </si>
  <si>
    <t xml:space="preserve">REF-BKG-04</t>
  </si>
  <si>
    <t xml:space="preserve">Booking.com Demand API — child policies</t>
  </si>
  <si>
    <t xml:space="preserve">Search requires adults, ages of all children, rooms and allocation per room; default child ages 0–17.</t>
  </si>
  <si>
    <t xml:space="preserve">https://developers.booking.com/demand/docs/accommodations/child-policies</t>
  </si>
  <si>
    <t xml:space="preserve">REF-BKG-05</t>
  </si>
  <si>
    <t xml:space="preserve">Booking.com for Partners — policies</t>
  </si>
  <si>
    <t xml:space="preserve">Recommend free cancellation until 1–2 days before check-in; flexible, partially refundable, non-refundable; guests cancel via confirmation email link or account.</t>
  </si>
  <si>
    <t xml:space="preserve">https://partner.booking.com/en-us/solutions/cancellation-deposit-and-prepayment-policies</t>
  </si>
  <si>
    <t xml:space="preserve">REF-EXP-01</t>
  </si>
  <si>
    <t xml:space="preserve">Expedia Group Rapid — launch requirements</t>
  </si>
  <si>
    <t xml:space="preserve">Show cancellation policy or non-refundable tag before confirmation; penalties with dates and type (amount, nights, percent).</t>
  </si>
  <si>
    <t xml:space="preserve">https://developers.expediagroup.com/rapid/setup/launch-requirements/lodging-launch-reqs</t>
  </si>
  <si>
    <t xml:space="preserve">REF-EXP-02</t>
  </si>
  <si>
    <t xml:space="preserve">Expedia Group Rapid — Shopping API</t>
  </si>
  <si>
    <t xml:space="preserve">Maximum 8 rooms per request; jurisdiction-specific price display.</t>
  </si>
  <si>
    <t xml:space="preserve">https://developers.expediagroup.com/rapid/lodging/shopping/about-shopping-api</t>
  </si>
  <si>
    <t xml:space="preserve">REF-EXP-03</t>
  </si>
  <si>
    <t xml:space="preserve">Child ages affect eligibility and price; typically 17 or younger; some properties do not allow under 18.</t>
  </si>
  <si>
    <t xml:space="preserve">REF-DSP-01</t>
  </si>
  <si>
    <t xml:space="preserve">Despegar — hotels</t>
  </si>
  <si>
    <t xml:space="preserve">Free cancellation filter; policy details visible before confirming; room types with description, photos, prices.</t>
  </si>
  <si>
    <t xml:space="preserve">https://www.despegar.com.co/hoteles/</t>
  </si>
  <si>
    <t xml:space="preserve">REF-PCI-01</t>
  </si>
  <si>
    <t xml:space="preserve">PCI DSS v4.0.1 Req. 3.3.1 / 3.4.1</t>
  </si>
  <si>
    <t xml:space="preserve">CVV not retained after authorization; PAN masked when displayed.</t>
  </si>
  <si>
    <t xml:space="preserve">https://www.pcisecuritystandards.org</t>
  </si>
  <si>
    <t xml:space="preserve">REF-NIST-01</t>
  </si>
  <si>
    <t xml:space="preserve">NIST SP 800-63B-4</t>
  </si>
  <si>
    <t xml:space="preserve">Single-factor passwords ≥ 15 chars (≥ 8 within MFA); permit ≥ 64; no composition rules; blocklist; rate limiting.</t>
  </si>
  <si>
    <t xml:space="preserve">https://pages.nist.gov/800-63-4/sp800-63b.html</t>
  </si>
  <si>
    <t xml:space="preserve">REF-OWASP-01</t>
  </si>
  <si>
    <t xml:space="preserve">OWASP API Security Top 10 – 2023</t>
  </si>
  <si>
    <t xml:space="preserve">API1 BOLA; API2 Broken Authentication; API4 Unrestricted Resource Consumption.</t>
  </si>
  <si>
    <t xml:space="preserve">https://owasp.org/API-Security/editions/2023/en/0x11-t10/</t>
  </si>
  <si>
    <t xml:space="preserve">REF-WCAG-01</t>
  </si>
  <si>
    <t xml:space="preserve">W3C WCAG 2.2 AA</t>
  </si>
  <si>
    <t xml:space="preserve">1.3.1, 1.3.5, 1.4.10, 2.1.1, 2.4.7, 2.5.8, 3.3.1, 3.3.2, 4.1.2, 4.1.3.</t>
  </si>
  <si>
    <t xml:space="preserve">https://www.w3.org/TR/WCAG22/</t>
  </si>
  <si>
    <t xml:space="preserve">REF-HTTP-01</t>
  </si>
  <si>
    <t xml:space="preserve">RFC 9110</t>
  </si>
  <si>
    <t xml:space="preserve">4xx client errors, 404, 409 conflict; POST not idempotent.</t>
  </si>
  <si>
    <t xml:space="preserve">https://www.rfc-editor.org/rfc/rfc9110</t>
  </si>
  <si>
    <t xml:space="preserve">REF-ISO-01</t>
  </si>
  <si>
    <t xml:space="preserve">ISO 4217</t>
  </si>
  <si>
    <t xml:space="preserve">Currency minor units (EUR/USD/MXN 2; JPY/CLP 0).</t>
  </si>
  <si>
    <t xml:space="preserve">https://www.iso.org/iso-4217-currency-codes.html</t>
  </si>
  <si>
    <t xml:space="preserve">REF-ISO-02</t>
  </si>
  <si>
    <t xml:space="preserve">ISO/IEC 7812-1</t>
  </si>
  <si>
    <t xml:space="preserve">Card number Luhn check digit.</t>
  </si>
  <si>
    <t xml:space="preserve">https://www.iso.org/standard/70484.html</t>
  </si>
  <si>
    <t xml:space="preserve">CONS</t>
  </si>
  <si>
    <t xml:space="preserve">Consistency heuristics (FEW HICCUPPS)</t>
  </si>
  <si>
    <t xml:space="preserve">Consistent with purpose, claims, the product itself and user expectations.</t>
  </si>
  <si>
    <t xml:space="preserve">https://developsense.com/blog/2012/07/few-hiccupps</t>
  </si>
  <si>
    <t xml:space="preserve">PO-01</t>
  </si>
  <si>
    <t xml:space="preserve">Product Owner (proposed)</t>
  </si>
  <si>
    <t xml:space="preserve">Check-in ≥ today (property local date), within inventory horizon.</t>
  </si>
  <si>
    <t xml:space="preserve">-</t>
  </si>
  <si>
    <t xml:space="preserve">PO-02</t>
  </si>
  <si>
    <t xml:space="preserve">Length of stay 1–30 nights.</t>
  </si>
  <si>
    <t xml:space="preserve">Based on REF-BKG-01</t>
  </si>
  <si>
    <t xml:space="preserve">PO-03</t>
  </si>
  <si>
    <t xml:space="preserve">1–8 rooms; ≥ 1 adult per room; allocation per room must fit capacity.</t>
  </si>
  <si>
    <t xml:space="preserve">Based on REF-EXP-02, REF-BKG-04</t>
  </si>
  <si>
    <t xml:space="preserve">PO-04</t>
  </si>
  <si>
    <t xml:space="preserve">Every child requires an age 0–17.</t>
  </si>
  <si>
    <t xml:space="preserve">Based on REF-BKG-04, REF-EXP-03</t>
  </si>
  <si>
    <t xml:space="preserve">PO-05</t>
  </si>
  <si>
    <t xml:space="preserve">FLEX free until 48 h before check-in then 1 night; STD free until 7 days then 50%; NRF no refund, no online cancellation.</t>
  </si>
  <si>
    <t xml:space="preserve">Based on REF-BKG-05, REF-EXP-01, REF-BKG-03</t>
  </si>
  <si>
    <t xml:space="preserve">PO-06</t>
  </si>
  <si>
    <t xml:space="preserve">Total stay price incl. taxes shown from results onward.</t>
  </si>
  <si>
    <t xml:space="preserve">Based on REF-LFPC-01, REF-FTC-01</t>
  </si>
  <si>
    <t xml:space="preserve">PO-07</t>
  </si>
  <si>
    <t xml:space="preserve">Amounts in rate currency with ISO 4217 minor units; converted amounts labelled approximate.</t>
  </si>
  <si>
    <t xml:space="preserve">Based on REF-LFPC-02, REF-ISO-01</t>
  </si>
  <si>
    <t xml:space="preserve">PO-08</t>
  </si>
  <si>
    <t xml:space="preserve">400 input · 401 auth · 404 unknown/not owned · 409 conflict · 429 rate limit · no 5xx from client input.</t>
  </si>
  <si>
    <t xml:space="preserve">Based on REF-HTTP-01, REF-OWASP-01</t>
  </si>
  <si>
    <t xml:space="preserve">PO-09</t>
  </si>
  <si>
    <t xml:space="preserve">Declined payment creates no booking and holds no inventory.</t>
  </si>
  <si>
    <t xml:space="preserve">PO-10</t>
  </si>
  <si>
    <t xml:space="preserve">Password ≥ 15, ≤ 64+ supported; 5 failed logins / 15 min → 429.</t>
  </si>
  <si>
    <t xml:space="preserve">Based on REF-NIST-01</t>
  </si>
  <si>
    <t xml:space="preserve">PO-11</t>
  </si>
  <si>
    <t xml:space="preserve">Emails normalised to lower case.</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</si>
</sst>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0"/>
      <color rgb="FFFFFFFF"/>
      <name val="Arial"/>
      <family val="0"/>
      <charset val="1"/>
    </font>
    <font>
      <sz val="10"/>
      <name val="Arial"/>
      <family val="0"/>
      <charset val="1"/>
    </font>
    <font>
      <sz val="9"/>
      <name val="Arial"/>
      <family val="0"/>
      <charset val="1"/>
    </font>
    <font>
      <b val="true"/>
      <sz val="13"/>
      <color rgb="FF1F3864"/>
      <name val="Arial"/>
      <family val="0"/>
      <charset val="1"/>
    </font>
    <font>
      <b val="true"/>
      <sz val="10"/>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CE6F2"/>
        <bgColor rgb="FFD9EAD3"/>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false" indent="0" shrinkToFit="false"/>
      <protection locked="true" hidden="false"/>
    </xf>
    <xf numFmtId="166" fontId="9" fillId="3"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D9EAD3"/>
        </patternFill>
      </fill>
    </dxf>
    <dxf>
      <fill>
        <patternFill>
          <bgColor rgb="FFF4CCCC"/>
        </patternFill>
      </fill>
    </dxf>
    <dxf>
      <fill>
        <patternFill>
          <bgColor rgb="FFFCE5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CE5CD"/>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27.75" hidden="false" customHeight="true" outlineLevel="0" collapsed="false">
      <c r="A1" s="2" t="s">
        <v>0</v>
      </c>
    </row>
    <row r="2" customFormat="false" ht="30" hidden="false" customHeight="true" outlineLevel="0" collapsed="false">
      <c r="A2" s="3" t="s">
        <v>1</v>
      </c>
      <c r="B2" s="4" t="s">
        <v>2</v>
      </c>
    </row>
    <row r="3" customFormat="false" ht="45" hidden="false" customHeight="true" outlineLevel="0" collapsed="false">
      <c r="A3" s="3" t="s">
        <v>3</v>
      </c>
      <c r="B3" s="4" t="s">
        <v>4</v>
      </c>
    </row>
    <row r="4" customFormat="false" ht="45" hidden="false" customHeight="true" outlineLevel="0" collapsed="false">
      <c r="A4" s="3" t="s">
        <v>5</v>
      </c>
      <c r="B4" s="4" t="s">
        <v>6</v>
      </c>
    </row>
    <row r="5" customFormat="false" ht="45" hidden="false" customHeight="true" outlineLevel="0" collapsed="false">
      <c r="A5" s="3" t="s">
        <v>7</v>
      </c>
      <c r="B5" s="4" t="s">
        <v>8</v>
      </c>
    </row>
    <row r="6" customFormat="false" ht="45" hidden="false" customHeight="true" outlineLevel="0" collapsed="false">
      <c r="A6" s="3" t="s">
        <v>9</v>
      </c>
      <c r="B6" s="4" t="s">
        <v>10</v>
      </c>
    </row>
    <row r="7" customFormat="false" ht="18" hidden="false" customHeight="true" outlineLevel="0" collapsed="false">
      <c r="A7" s="3" t="s">
        <v>11</v>
      </c>
      <c r="B7" s="4" t="s">
        <v>12</v>
      </c>
    </row>
    <row r="8" customFormat="false" ht="45" hidden="false" customHeight="true" outlineLevel="0" collapsed="false">
      <c r="A8" s="3" t="s">
        <v>13</v>
      </c>
      <c r="B8" s="4" t="s">
        <v>14</v>
      </c>
    </row>
    <row r="9" customFormat="false" ht="30" hidden="false" customHeight="true" outlineLevel="0" collapsed="false">
      <c r="A9" s="3" t="s">
        <v>15</v>
      </c>
      <c r="B9" s="4" t="s">
        <v>16</v>
      </c>
    </row>
    <row r="10" customFormat="false" ht="30" hidden="false" customHeight="true" outlineLevel="0" collapsed="false">
      <c r="A10" s="3" t="s">
        <v>17</v>
      </c>
      <c r="B10" s="4" t="s">
        <v>18</v>
      </c>
    </row>
    <row r="11" customFormat="false" ht="30" hidden="false" customHeight="true" outlineLevel="0" collapsed="false">
      <c r="A11" s="3" t="s">
        <v>19</v>
      </c>
      <c r="B11" s="4" t="s">
        <v>20</v>
      </c>
    </row>
    <row r="12" customFormat="false" ht="30" hidden="false" customHeight="true" outlineLevel="0" collapsed="false">
      <c r="A12" s="3" t="s">
        <v>21</v>
      </c>
      <c r="B12" s="4" t="s">
        <v>22</v>
      </c>
    </row>
    <row r="13" customFormat="false" ht="45" hidden="false" customHeight="true" outlineLevel="0" collapsed="false">
      <c r="A13" s="3" t="s">
        <v>23</v>
      </c>
      <c r="B13" s="4" t="s">
        <v>24</v>
      </c>
    </row>
    <row r="14" customFormat="false" ht="18" hidden="false" customHeight="true" outlineLevel="0" collapsed="false">
      <c r="A14" s="3" t="s">
        <v>25</v>
      </c>
      <c r="B14" s="4" t="s">
        <v>26</v>
      </c>
    </row>
    <row r="15" customFormat="false" ht="30" hidden="false" customHeight="true" outlineLevel="0" collapsed="false">
      <c r="A15" s="3" t="s">
        <v>27</v>
      </c>
      <c r="B15" s="4"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12"/>
    <col collapsed="false" customWidth="true" hidden="false" outlineLevel="0" max="4" min="4" style="1" width="42"/>
    <col collapsed="false" customWidth="true" hidden="false" outlineLevel="0" max="5" min="5" style="1" width="60"/>
    <col collapsed="false" customWidth="true" hidden="false" outlineLevel="0" max="6" min="6" style="1" width="54"/>
    <col collapsed="false" customWidth="true" hidden="false" outlineLevel="0" max="7" min="7" style="1" width="24"/>
    <col collapsed="false" customWidth="true" hidden="false" outlineLevel="0" max="8" min="8" style="1" width="14"/>
  </cols>
  <sheetData>
    <row r="1" customFormat="false" ht="30" hidden="false" customHeight="true" outlineLevel="0" collapsed="false">
      <c r="A1" s="5" t="s">
        <v>29</v>
      </c>
      <c r="B1" s="5" t="s">
        <v>30</v>
      </c>
      <c r="C1" s="5" t="s">
        <v>31</v>
      </c>
      <c r="D1" s="5" t="s">
        <v>32</v>
      </c>
      <c r="E1" s="5" t="s">
        <v>33</v>
      </c>
      <c r="F1" s="5" t="s">
        <v>34</v>
      </c>
      <c r="G1" s="5" t="s">
        <v>35</v>
      </c>
      <c r="H1" s="5" t="s">
        <v>36</v>
      </c>
    </row>
    <row r="2" customFormat="false" ht="78" hidden="false" customHeight="true" outlineLevel="0" collapsed="false">
      <c r="A2" s="6" t="s">
        <v>37</v>
      </c>
      <c r="B2" s="7" t="s">
        <v>38</v>
      </c>
      <c r="C2" s="6" t="s">
        <v>39</v>
      </c>
      <c r="D2" s="7" t="s">
        <v>40</v>
      </c>
      <c r="E2" s="7" t="s">
        <v>41</v>
      </c>
      <c r="F2" s="7" t="s">
        <v>42</v>
      </c>
      <c r="G2" s="7" t="s">
        <v>43</v>
      </c>
      <c r="H2" s="6" t="s">
        <v>44</v>
      </c>
    </row>
    <row r="3" customFormat="false" ht="51.75" hidden="false" customHeight="true" outlineLevel="0" collapsed="false">
      <c r="A3" s="6" t="s">
        <v>45</v>
      </c>
      <c r="B3" s="7" t="s">
        <v>46</v>
      </c>
      <c r="C3" s="6" t="s">
        <v>39</v>
      </c>
      <c r="D3" s="7" t="s">
        <v>47</v>
      </c>
      <c r="E3" s="7" t="s">
        <v>48</v>
      </c>
      <c r="F3" s="7" t="s">
        <v>49</v>
      </c>
      <c r="G3" s="7" t="s">
        <v>43</v>
      </c>
      <c r="H3" s="6" t="s">
        <v>44</v>
      </c>
    </row>
    <row r="4" customFormat="false" ht="64.5" hidden="false" customHeight="true" outlineLevel="0" collapsed="false">
      <c r="A4" s="6" t="s">
        <v>50</v>
      </c>
      <c r="B4" s="7" t="s">
        <v>51</v>
      </c>
      <c r="C4" s="6" t="s">
        <v>39</v>
      </c>
      <c r="D4" s="7" t="s">
        <v>52</v>
      </c>
      <c r="E4" s="7" t="s">
        <v>53</v>
      </c>
      <c r="F4" s="7" t="s">
        <v>54</v>
      </c>
      <c r="G4" s="7" t="s">
        <v>43</v>
      </c>
      <c r="H4" s="6" t="s">
        <v>44</v>
      </c>
    </row>
    <row r="5" customFormat="false" ht="25.5" hidden="false" customHeight="true" outlineLevel="0" collapsed="false">
      <c r="A5" s="6" t="s">
        <v>55</v>
      </c>
      <c r="B5" s="7" t="s">
        <v>56</v>
      </c>
      <c r="C5" s="6" t="s">
        <v>39</v>
      </c>
      <c r="D5" s="7" t="s">
        <v>57</v>
      </c>
      <c r="E5" s="7" t="s">
        <v>58</v>
      </c>
      <c r="F5" s="7" t="s">
        <v>59</v>
      </c>
      <c r="G5" s="7" t="s">
        <v>43</v>
      </c>
      <c r="H5" s="6" t="s">
        <v>44</v>
      </c>
    </row>
    <row r="6" customFormat="false" ht="39" hidden="false" customHeight="true" outlineLevel="0" collapsed="false">
      <c r="A6" s="6" t="s">
        <v>60</v>
      </c>
      <c r="B6" s="7" t="s">
        <v>61</v>
      </c>
      <c r="C6" s="6" t="s">
        <v>39</v>
      </c>
      <c r="D6" s="7" t="s">
        <v>62</v>
      </c>
      <c r="E6" s="7" t="s">
        <v>63</v>
      </c>
      <c r="F6" s="7" t="s">
        <v>64</v>
      </c>
      <c r="G6" s="7" t="s">
        <v>43</v>
      </c>
      <c r="H6" s="6" t="s">
        <v>44</v>
      </c>
    </row>
    <row r="7" customFormat="false" ht="25.5" hidden="false" customHeight="true" outlineLevel="0" collapsed="false">
      <c r="A7" s="6" t="s">
        <v>65</v>
      </c>
      <c r="B7" s="7" t="s">
        <v>66</v>
      </c>
      <c r="C7" s="6" t="s">
        <v>39</v>
      </c>
      <c r="D7" s="7" t="s">
        <v>67</v>
      </c>
      <c r="E7" s="7" t="s">
        <v>68</v>
      </c>
      <c r="F7" s="7" t="s">
        <v>69</v>
      </c>
      <c r="G7" s="7" t="s">
        <v>43</v>
      </c>
      <c r="H7" s="6" t="s">
        <v>44</v>
      </c>
    </row>
    <row r="8" customFormat="false" ht="25.5" hidden="false" customHeight="true" outlineLevel="0" collapsed="false">
      <c r="A8" s="6" t="s">
        <v>70</v>
      </c>
      <c r="B8" s="7" t="s">
        <v>71</v>
      </c>
      <c r="C8" s="6" t="s">
        <v>39</v>
      </c>
      <c r="D8" s="7" t="s">
        <v>72</v>
      </c>
      <c r="E8" s="7" t="s">
        <v>73</v>
      </c>
      <c r="F8" s="7" t="s">
        <v>74</v>
      </c>
      <c r="G8" s="7" t="s">
        <v>43</v>
      </c>
      <c r="H8" s="6" t="s">
        <v>44</v>
      </c>
    </row>
    <row r="9" customFormat="false" ht="39" hidden="false" customHeight="true" outlineLevel="0" collapsed="false">
      <c r="A9" s="6" t="s">
        <v>75</v>
      </c>
      <c r="B9" s="7" t="s">
        <v>76</v>
      </c>
      <c r="C9" s="6" t="s">
        <v>77</v>
      </c>
      <c r="D9" s="7" t="s">
        <v>78</v>
      </c>
      <c r="E9" s="7" t="s">
        <v>79</v>
      </c>
      <c r="F9" s="7" t="s">
        <v>80</v>
      </c>
      <c r="G9" s="7" t="s">
        <v>43</v>
      </c>
      <c r="H9" s="6" t="s">
        <v>44</v>
      </c>
    </row>
    <row r="10" customFormat="false" ht="39" hidden="false" customHeight="true" outlineLevel="0" collapsed="false">
      <c r="A10" s="6" t="s">
        <v>81</v>
      </c>
      <c r="B10" s="7" t="s">
        <v>82</v>
      </c>
      <c r="C10" s="6" t="s">
        <v>77</v>
      </c>
      <c r="D10" s="7" t="s">
        <v>83</v>
      </c>
      <c r="E10" s="7" t="s">
        <v>84</v>
      </c>
      <c r="F10" s="7" t="s">
        <v>85</v>
      </c>
      <c r="G10" s="7" t="s">
        <v>43</v>
      </c>
      <c r="H10" s="6" t="s">
        <v>44</v>
      </c>
    </row>
    <row r="11" customFormat="false" ht="39" hidden="false" customHeight="true" outlineLevel="0" collapsed="false">
      <c r="A11" s="6" t="s">
        <v>86</v>
      </c>
      <c r="B11" s="7" t="s">
        <v>87</v>
      </c>
      <c r="C11" s="6" t="s">
        <v>77</v>
      </c>
      <c r="D11" s="7" t="s">
        <v>88</v>
      </c>
      <c r="E11" s="7" t="s">
        <v>89</v>
      </c>
      <c r="F11" s="7" t="s">
        <v>90</v>
      </c>
      <c r="G11" s="7" t="s">
        <v>43</v>
      </c>
      <c r="H11" s="6" t="s">
        <v>44</v>
      </c>
    </row>
    <row r="12" customFormat="false" ht="25.5" hidden="false" customHeight="true" outlineLevel="0" collapsed="false">
      <c r="A12" s="6" t="s">
        <v>91</v>
      </c>
      <c r="B12" s="7" t="s">
        <v>92</v>
      </c>
      <c r="C12" s="6" t="s">
        <v>77</v>
      </c>
      <c r="D12" s="7" t="s">
        <v>93</v>
      </c>
      <c r="E12" s="7" t="s">
        <v>94</v>
      </c>
      <c r="F12" s="7" t="s">
        <v>95</v>
      </c>
      <c r="G12" s="7" t="s">
        <v>43</v>
      </c>
      <c r="H12" s="6" t="s">
        <v>44</v>
      </c>
    </row>
    <row r="13" customFormat="false" ht="39" hidden="false" customHeight="true" outlineLevel="0" collapsed="false">
      <c r="A13" s="6" t="s">
        <v>96</v>
      </c>
      <c r="B13" s="7" t="s">
        <v>97</v>
      </c>
      <c r="C13" s="6" t="s">
        <v>39</v>
      </c>
      <c r="D13" s="7" t="s">
        <v>98</v>
      </c>
      <c r="E13" s="7" t="s">
        <v>99</v>
      </c>
      <c r="F13" s="7" t="s">
        <v>100</v>
      </c>
      <c r="G13" s="7" t="s">
        <v>101</v>
      </c>
      <c r="H13" s="6" t="s">
        <v>44</v>
      </c>
    </row>
    <row r="14" customFormat="false" ht="25.5" hidden="false" customHeight="true" outlineLevel="0" collapsed="false">
      <c r="A14" s="6" t="s">
        <v>102</v>
      </c>
      <c r="B14" s="7" t="s">
        <v>103</v>
      </c>
      <c r="C14" s="6" t="s">
        <v>39</v>
      </c>
      <c r="D14" s="7" t="s">
        <v>104</v>
      </c>
      <c r="E14" s="7" t="s">
        <v>105</v>
      </c>
      <c r="F14" s="7" t="s">
        <v>106</v>
      </c>
      <c r="G14" s="7" t="s">
        <v>101</v>
      </c>
      <c r="H14" s="6" t="s">
        <v>44</v>
      </c>
    </row>
    <row r="15" customFormat="false" ht="39" hidden="false" customHeight="true" outlineLevel="0" collapsed="false">
      <c r="A15" s="6" t="s">
        <v>107</v>
      </c>
      <c r="B15" s="7" t="s">
        <v>108</v>
      </c>
      <c r="C15" s="6" t="s">
        <v>39</v>
      </c>
      <c r="D15" s="7" t="s">
        <v>109</v>
      </c>
      <c r="E15" s="7" t="s">
        <v>110</v>
      </c>
      <c r="F15" s="7" t="s">
        <v>111</v>
      </c>
      <c r="G15" s="7" t="s">
        <v>101</v>
      </c>
      <c r="H15" s="6" t="s">
        <v>44</v>
      </c>
    </row>
    <row r="16" customFormat="false" ht="25.5" hidden="false" customHeight="true" outlineLevel="0" collapsed="false">
      <c r="A16" s="6" t="s">
        <v>112</v>
      </c>
      <c r="B16" s="7" t="s">
        <v>113</v>
      </c>
      <c r="C16" s="6" t="s">
        <v>39</v>
      </c>
      <c r="D16" s="7" t="s">
        <v>114</v>
      </c>
      <c r="E16" s="7" t="s">
        <v>115</v>
      </c>
      <c r="F16" s="7" t="s">
        <v>106</v>
      </c>
      <c r="G16" s="7" t="s">
        <v>101</v>
      </c>
      <c r="H16" s="6" t="s">
        <v>44</v>
      </c>
    </row>
    <row r="17" customFormat="false" ht="39" hidden="false" customHeight="true" outlineLevel="0" collapsed="false">
      <c r="A17" s="6" t="s">
        <v>116</v>
      </c>
      <c r="B17" s="7" t="s">
        <v>117</v>
      </c>
      <c r="C17" s="6" t="s">
        <v>39</v>
      </c>
      <c r="D17" s="7" t="s">
        <v>118</v>
      </c>
      <c r="E17" s="7" t="s">
        <v>119</v>
      </c>
      <c r="F17" s="7" t="s">
        <v>120</v>
      </c>
      <c r="G17" s="7" t="s">
        <v>101</v>
      </c>
      <c r="H17" s="6" t="s">
        <v>44</v>
      </c>
    </row>
    <row r="18" customFormat="false" ht="25.5" hidden="false" customHeight="true" outlineLevel="0" collapsed="false">
      <c r="A18" s="6" t="s">
        <v>121</v>
      </c>
      <c r="B18" s="7" t="s">
        <v>122</v>
      </c>
      <c r="C18" s="6" t="s">
        <v>39</v>
      </c>
      <c r="D18" s="7" t="s">
        <v>123</v>
      </c>
      <c r="E18" s="7" t="s">
        <v>124</v>
      </c>
      <c r="F18" s="7" t="s">
        <v>125</v>
      </c>
      <c r="G18" s="7" t="s">
        <v>101</v>
      </c>
      <c r="H18" s="6" t="s">
        <v>44</v>
      </c>
    </row>
    <row r="19" customFormat="false" ht="25.5" hidden="false" customHeight="true" outlineLevel="0" collapsed="false">
      <c r="A19" s="6" t="s">
        <v>126</v>
      </c>
      <c r="B19" s="7" t="s">
        <v>127</v>
      </c>
      <c r="C19" s="6" t="s">
        <v>39</v>
      </c>
      <c r="D19" s="7" t="s">
        <v>128</v>
      </c>
      <c r="E19" s="7" t="s">
        <v>129</v>
      </c>
      <c r="F19" s="7" t="s">
        <v>130</v>
      </c>
      <c r="G19" s="7" t="s">
        <v>101</v>
      </c>
      <c r="H19" s="6" t="s">
        <v>44</v>
      </c>
    </row>
    <row r="20" customFormat="false" ht="25.5" hidden="false" customHeight="true" outlineLevel="0" collapsed="false">
      <c r="A20" s="6" t="s">
        <v>131</v>
      </c>
      <c r="B20" s="7" t="s">
        <v>132</v>
      </c>
      <c r="C20" s="6" t="s">
        <v>39</v>
      </c>
      <c r="D20" s="7" t="s">
        <v>133</v>
      </c>
      <c r="E20" s="7" t="s">
        <v>134</v>
      </c>
      <c r="F20" s="7" t="s">
        <v>135</v>
      </c>
      <c r="G20" s="7" t="s">
        <v>101</v>
      </c>
      <c r="H20" s="6" t="s">
        <v>44</v>
      </c>
    </row>
    <row r="21" customFormat="false" ht="25.5" hidden="false" customHeight="true" outlineLevel="0" collapsed="false">
      <c r="A21" s="6" t="s">
        <v>136</v>
      </c>
      <c r="B21" s="7" t="s">
        <v>137</v>
      </c>
      <c r="C21" s="6" t="s">
        <v>39</v>
      </c>
      <c r="D21" s="7" t="s">
        <v>138</v>
      </c>
      <c r="E21" s="7" t="s">
        <v>139</v>
      </c>
      <c r="F21" s="7" t="s">
        <v>140</v>
      </c>
      <c r="G21" s="7" t="s">
        <v>101</v>
      </c>
      <c r="H21" s="6" t="s">
        <v>44</v>
      </c>
    </row>
    <row r="22" customFormat="false" ht="39" hidden="false" customHeight="true" outlineLevel="0" collapsed="false">
      <c r="A22" s="6" t="s">
        <v>141</v>
      </c>
      <c r="B22" s="7" t="s">
        <v>142</v>
      </c>
      <c r="C22" s="6" t="s">
        <v>77</v>
      </c>
      <c r="D22" s="7" t="s">
        <v>143</v>
      </c>
      <c r="E22" s="7" t="s">
        <v>144</v>
      </c>
      <c r="F22" s="7" t="s">
        <v>145</v>
      </c>
      <c r="G22" s="7" t="s">
        <v>101</v>
      </c>
      <c r="H22" s="6" t="s">
        <v>44</v>
      </c>
    </row>
    <row r="23" customFormat="false" ht="39" hidden="false" customHeight="true" outlineLevel="0" collapsed="false">
      <c r="A23" s="6" t="s">
        <v>146</v>
      </c>
      <c r="B23" s="7" t="s">
        <v>147</v>
      </c>
      <c r="C23" s="6" t="s">
        <v>148</v>
      </c>
      <c r="D23" s="7" t="s">
        <v>149</v>
      </c>
      <c r="E23" s="7" t="s">
        <v>150</v>
      </c>
      <c r="F23" s="7" t="s">
        <v>151</v>
      </c>
      <c r="G23" s="7" t="s">
        <v>101</v>
      </c>
      <c r="H23" s="6" t="s">
        <v>44</v>
      </c>
    </row>
    <row r="24" customFormat="false" ht="39" hidden="false" customHeight="true" outlineLevel="0" collapsed="false">
      <c r="A24" s="6" t="s">
        <v>152</v>
      </c>
      <c r="B24" s="7" t="s">
        <v>153</v>
      </c>
      <c r="C24" s="6" t="s">
        <v>77</v>
      </c>
      <c r="D24" s="7" t="s">
        <v>154</v>
      </c>
      <c r="E24" s="7" t="s">
        <v>155</v>
      </c>
      <c r="F24" s="7" t="s">
        <v>156</v>
      </c>
      <c r="G24" s="7" t="s">
        <v>101</v>
      </c>
      <c r="H24" s="6" t="s">
        <v>44</v>
      </c>
    </row>
    <row r="25" customFormat="false" ht="51.75" hidden="false" customHeight="true" outlineLevel="0" collapsed="false">
      <c r="A25" s="6" t="s">
        <v>157</v>
      </c>
      <c r="B25" s="7" t="s">
        <v>158</v>
      </c>
      <c r="C25" s="6" t="s">
        <v>77</v>
      </c>
      <c r="D25" s="7" t="s">
        <v>159</v>
      </c>
      <c r="E25" s="7" t="s">
        <v>160</v>
      </c>
      <c r="F25" s="7" t="s">
        <v>161</v>
      </c>
      <c r="G25" s="7" t="s">
        <v>162</v>
      </c>
      <c r="H25" s="6" t="s">
        <v>44</v>
      </c>
    </row>
    <row r="26" customFormat="false" ht="39" hidden="false" customHeight="true" outlineLevel="0" collapsed="false">
      <c r="A26" s="6" t="s">
        <v>163</v>
      </c>
      <c r="B26" s="7" t="s">
        <v>164</v>
      </c>
      <c r="C26" s="6" t="s">
        <v>39</v>
      </c>
      <c r="D26" s="7" t="s">
        <v>165</v>
      </c>
      <c r="E26" s="7" t="s">
        <v>166</v>
      </c>
      <c r="F26" s="7" t="s">
        <v>167</v>
      </c>
      <c r="G26" s="7" t="s">
        <v>162</v>
      </c>
      <c r="H26" s="6" t="s">
        <v>44</v>
      </c>
    </row>
    <row r="27" customFormat="false" ht="51.75" hidden="false" customHeight="true" outlineLevel="0" collapsed="false">
      <c r="A27" s="6" t="s">
        <v>168</v>
      </c>
      <c r="B27" s="7" t="s">
        <v>169</v>
      </c>
      <c r="C27" s="6" t="s">
        <v>77</v>
      </c>
      <c r="D27" s="7" t="s">
        <v>170</v>
      </c>
      <c r="E27" s="7" t="s">
        <v>171</v>
      </c>
      <c r="F27" s="7" t="s">
        <v>172</v>
      </c>
      <c r="G27" s="7" t="s">
        <v>162</v>
      </c>
      <c r="H27" s="6" t="s">
        <v>44</v>
      </c>
    </row>
    <row r="28" customFormat="false" ht="39" hidden="false" customHeight="true" outlineLevel="0" collapsed="false">
      <c r="A28" s="6" t="s">
        <v>173</v>
      </c>
      <c r="B28" s="7" t="s">
        <v>174</v>
      </c>
      <c r="C28" s="6" t="s">
        <v>77</v>
      </c>
      <c r="D28" s="7" t="s">
        <v>175</v>
      </c>
      <c r="E28" s="7" t="s">
        <v>176</v>
      </c>
      <c r="F28" s="7" t="s">
        <v>177</v>
      </c>
      <c r="G28" s="7" t="s">
        <v>162</v>
      </c>
      <c r="H28" s="6" t="s">
        <v>44</v>
      </c>
    </row>
    <row r="29" customFormat="false" ht="25.5" hidden="false" customHeight="true" outlineLevel="0" collapsed="false">
      <c r="A29" s="6" t="s">
        <v>178</v>
      </c>
      <c r="B29" s="7" t="s">
        <v>179</v>
      </c>
      <c r="C29" s="6" t="s">
        <v>39</v>
      </c>
      <c r="D29" s="7" t="s">
        <v>180</v>
      </c>
      <c r="E29" s="7" t="s">
        <v>181</v>
      </c>
      <c r="F29" s="7" t="s">
        <v>182</v>
      </c>
      <c r="G29" s="7" t="s">
        <v>183</v>
      </c>
      <c r="H29" s="6" t="s">
        <v>44</v>
      </c>
    </row>
    <row r="30" customFormat="false" ht="25.5" hidden="false" customHeight="true" outlineLevel="0" collapsed="false">
      <c r="A30" s="6" t="s">
        <v>184</v>
      </c>
      <c r="B30" s="7" t="s">
        <v>185</v>
      </c>
      <c r="C30" s="6" t="s">
        <v>39</v>
      </c>
      <c r="D30" s="7" t="s">
        <v>186</v>
      </c>
      <c r="E30" s="7" t="s">
        <v>187</v>
      </c>
      <c r="F30" s="7" t="s">
        <v>188</v>
      </c>
      <c r="G30" s="7" t="s">
        <v>183</v>
      </c>
      <c r="H30" s="6" t="s">
        <v>44</v>
      </c>
    </row>
    <row r="31" customFormat="false" ht="39" hidden="false" customHeight="true" outlineLevel="0" collapsed="false">
      <c r="A31" s="6" t="s">
        <v>189</v>
      </c>
      <c r="B31" s="7" t="s">
        <v>190</v>
      </c>
      <c r="C31" s="6" t="s">
        <v>77</v>
      </c>
      <c r="D31" s="7" t="s">
        <v>191</v>
      </c>
      <c r="E31" s="7" t="s">
        <v>192</v>
      </c>
      <c r="F31" s="7" t="s">
        <v>193</v>
      </c>
      <c r="G31" s="7" t="s">
        <v>183</v>
      </c>
      <c r="H31" s="6" t="s">
        <v>44</v>
      </c>
    </row>
    <row r="32" customFormat="false" ht="25.5" hidden="false" customHeight="true" outlineLevel="0" collapsed="false">
      <c r="A32" s="6" t="s">
        <v>194</v>
      </c>
      <c r="B32" s="7" t="s">
        <v>195</v>
      </c>
      <c r="C32" s="6" t="s">
        <v>77</v>
      </c>
      <c r="D32" s="7" t="s">
        <v>196</v>
      </c>
      <c r="E32" s="7" t="s">
        <v>197</v>
      </c>
      <c r="F32" s="7" t="s">
        <v>198</v>
      </c>
      <c r="G32" s="7" t="s">
        <v>183</v>
      </c>
      <c r="H32" s="6" t="s">
        <v>44</v>
      </c>
    </row>
    <row r="33" customFormat="false" ht="25.5" hidden="false" customHeight="true" outlineLevel="0" collapsed="false">
      <c r="A33" s="6" t="s">
        <v>199</v>
      </c>
      <c r="B33" s="7" t="s">
        <v>200</v>
      </c>
      <c r="C33" s="6" t="s">
        <v>39</v>
      </c>
      <c r="D33" s="7" t="s">
        <v>201</v>
      </c>
      <c r="E33" s="7" t="s">
        <v>202</v>
      </c>
      <c r="F33" s="7" t="s">
        <v>188</v>
      </c>
      <c r="G33" s="7" t="s">
        <v>183</v>
      </c>
      <c r="H33" s="6" t="s">
        <v>44</v>
      </c>
    </row>
    <row r="34" customFormat="false" ht="25.5" hidden="false" customHeight="true" outlineLevel="0" collapsed="false">
      <c r="A34" s="6" t="s">
        <v>203</v>
      </c>
      <c r="B34" s="7" t="s">
        <v>204</v>
      </c>
      <c r="C34" s="6" t="s">
        <v>39</v>
      </c>
      <c r="D34" s="7" t="s">
        <v>205</v>
      </c>
      <c r="E34" s="7" t="s">
        <v>206</v>
      </c>
      <c r="F34" s="7" t="s">
        <v>207</v>
      </c>
      <c r="G34" s="7" t="s">
        <v>183</v>
      </c>
      <c r="H34" s="6" t="s">
        <v>44</v>
      </c>
    </row>
    <row r="35" customFormat="false" ht="25.5" hidden="false" customHeight="true" outlineLevel="0" collapsed="false">
      <c r="A35" s="6" t="s">
        <v>208</v>
      </c>
      <c r="B35" s="7" t="s">
        <v>209</v>
      </c>
      <c r="C35" s="6" t="s">
        <v>39</v>
      </c>
      <c r="D35" s="7" t="s">
        <v>210</v>
      </c>
      <c r="E35" s="7" t="s">
        <v>211</v>
      </c>
      <c r="F35" s="7" t="s">
        <v>212</v>
      </c>
      <c r="G35" s="7" t="s">
        <v>183</v>
      </c>
      <c r="H35" s="6" t="s">
        <v>44</v>
      </c>
    </row>
    <row r="36" customFormat="false" ht="39" hidden="false" customHeight="true" outlineLevel="0" collapsed="false">
      <c r="A36" s="6" t="s">
        <v>213</v>
      </c>
      <c r="B36" s="7" t="s">
        <v>214</v>
      </c>
      <c r="C36" s="6" t="s">
        <v>39</v>
      </c>
      <c r="D36" s="7" t="s">
        <v>215</v>
      </c>
      <c r="E36" s="7" t="s">
        <v>216</v>
      </c>
      <c r="F36" s="7" t="s">
        <v>217</v>
      </c>
      <c r="G36" s="7" t="s">
        <v>183</v>
      </c>
      <c r="H36" s="6" t="s">
        <v>44</v>
      </c>
    </row>
    <row r="37" customFormat="false" ht="39" hidden="false" customHeight="true" outlineLevel="0" collapsed="false">
      <c r="A37" s="6" t="s">
        <v>218</v>
      </c>
      <c r="B37" s="7" t="s">
        <v>219</v>
      </c>
      <c r="C37" s="6" t="s">
        <v>39</v>
      </c>
      <c r="D37" s="7" t="s">
        <v>220</v>
      </c>
      <c r="E37" s="7" t="s">
        <v>221</v>
      </c>
      <c r="F37" s="7" t="s">
        <v>222</v>
      </c>
      <c r="G37" s="7" t="s">
        <v>183</v>
      </c>
      <c r="H37" s="6" t="s">
        <v>44</v>
      </c>
    </row>
    <row r="38" customFormat="false" ht="25.5" hidden="false" customHeight="true" outlineLevel="0" collapsed="false">
      <c r="A38" s="6" t="s">
        <v>223</v>
      </c>
      <c r="B38" s="7" t="s">
        <v>224</v>
      </c>
      <c r="C38" s="6" t="s">
        <v>39</v>
      </c>
      <c r="D38" s="7" t="s">
        <v>225</v>
      </c>
      <c r="E38" s="7" t="s">
        <v>226</v>
      </c>
      <c r="F38" s="7" t="s">
        <v>227</v>
      </c>
      <c r="G38" s="7" t="s">
        <v>183</v>
      </c>
      <c r="H38" s="6" t="s">
        <v>44</v>
      </c>
    </row>
    <row r="39" customFormat="false" ht="39" hidden="false" customHeight="true" outlineLevel="0" collapsed="false">
      <c r="A39" s="6" t="s">
        <v>228</v>
      </c>
      <c r="B39" s="7" t="s">
        <v>229</v>
      </c>
      <c r="C39" s="6" t="s">
        <v>77</v>
      </c>
      <c r="D39" s="7" t="s">
        <v>230</v>
      </c>
      <c r="E39" s="7" t="s">
        <v>231</v>
      </c>
      <c r="F39" s="7" t="s">
        <v>232</v>
      </c>
      <c r="G39" s="7" t="s">
        <v>233</v>
      </c>
      <c r="H39" s="6" t="s">
        <v>44</v>
      </c>
    </row>
    <row r="40" customFormat="false" ht="25.5" hidden="false" customHeight="true" outlineLevel="0" collapsed="false">
      <c r="A40" s="6" t="s">
        <v>234</v>
      </c>
      <c r="B40" s="7" t="s">
        <v>235</v>
      </c>
      <c r="C40" s="6" t="s">
        <v>39</v>
      </c>
      <c r="D40" s="7" t="s">
        <v>236</v>
      </c>
      <c r="E40" s="7" t="s">
        <v>237</v>
      </c>
      <c r="F40" s="7" t="s">
        <v>238</v>
      </c>
      <c r="G40" s="7" t="s">
        <v>233</v>
      </c>
      <c r="H40" s="6" t="s">
        <v>44</v>
      </c>
    </row>
    <row r="41" customFormat="false" ht="39" hidden="false" customHeight="true" outlineLevel="0" collapsed="false">
      <c r="A41" s="6" t="s">
        <v>239</v>
      </c>
      <c r="B41" s="7" t="s">
        <v>240</v>
      </c>
      <c r="C41" s="6" t="s">
        <v>39</v>
      </c>
      <c r="D41" s="7" t="s">
        <v>241</v>
      </c>
      <c r="E41" s="7" t="s">
        <v>242</v>
      </c>
      <c r="F41" s="7" t="s">
        <v>243</v>
      </c>
      <c r="G41" s="7" t="s">
        <v>233</v>
      </c>
      <c r="H41" s="6" t="s">
        <v>44</v>
      </c>
    </row>
    <row r="42" customFormat="false" ht="39" hidden="false" customHeight="true" outlineLevel="0" collapsed="false">
      <c r="A42" s="6" t="s">
        <v>244</v>
      </c>
      <c r="B42" s="7" t="s">
        <v>245</v>
      </c>
      <c r="C42" s="6" t="s">
        <v>39</v>
      </c>
      <c r="D42" s="7" t="s">
        <v>246</v>
      </c>
      <c r="E42" s="7" t="s">
        <v>247</v>
      </c>
      <c r="F42" s="7" t="s">
        <v>248</v>
      </c>
      <c r="G42" s="7" t="s">
        <v>233</v>
      </c>
      <c r="H42" s="6" t="s">
        <v>44</v>
      </c>
    </row>
    <row r="43" customFormat="false" ht="25.5" hidden="false" customHeight="true" outlineLevel="0" collapsed="false">
      <c r="A43" s="6" t="s">
        <v>249</v>
      </c>
      <c r="B43" s="7" t="s">
        <v>250</v>
      </c>
      <c r="C43" s="6" t="s">
        <v>39</v>
      </c>
      <c r="D43" s="7" t="s">
        <v>251</v>
      </c>
      <c r="E43" s="7" t="s">
        <v>252</v>
      </c>
      <c r="F43" s="7" t="s">
        <v>188</v>
      </c>
      <c r="G43" s="7" t="s">
        <v>233</v>
      </c>
      <c r="H43" s="6" t="s">
        <v>44</v>
      </c>
    </row>
    <row r="44" customFormat="false" ht="25.5" hidden="false" customHeight="true" outlineLevel="0" collapsed="false">
      <c r="A44" s="6" t="s">
        <v>253</v>
      </c>
      <c r="B44" s="7" t="s">
        <v>254</v>
      </c>
      <c r="C44" s="6" t="s">
        <v>39</v>
      </c>
      <c r="D44" s="7" t="s">
        <v>255</v>
      </c>
      <c r="E44" s="7" t="s">
        <v>256</v>
      </c>
      <c r="F44" s="7" t="s">
        <v>257</v>
      </c>
      <c r="G44" s="7" t="s">
        <v>233</v>
      </c>
      <c r="H44" s="6" t="s">
        <v>44</v>
      </c>
    </row>
    <row r="45" customFormat="false" ht="25.5" hidden="false" customHeight="true" outlineLevel="0" collapsed="false">
      <c r="A45" s="6" t="s">
        <v>258</v>
      </c>
      <c r="B45" s="7" t="s">
        <v>259</v>
      </c>
      <c r="C45" s="6" t="s">
        <v>39</v>
      </c>
      <c r="D45" s="7" t="s">
        <v>260</v>
      </c>
      <c r="E45" s="7" t="s">
        <v>261</v>
      </c>
      <c r="F45" s="7" t="s">
        <v>262</v>
      </c>
      <c r="G45" s="7" t="s">
        <v>233</v>
      </c>
      <c r="H45" s="6" t="s">
        <v>44</v>
      </c>
    </row>
    <row r="46" customFormat="false" ht="25.5" hidden="false" customHeight="true" outlineLevel="0" collapsed="false">
      <c r="A46" s="6" t="s">
        <v>263</v>
      </c>
      <c r="B46" s="7" t="s">
        <v>264</v>
      </c>
      <c r="C46" s="6" t="s">
        <v>39</v>
      </c>
      <c r="D46" s="7" t="s">
        <v>265</v>
      </c>
      <c r="E46" s="7" t="s">
        <v>266</v>
      </c>
      <c r="F46" s="7" t="s">
        <v>267</v>
      </c>
      <c r="G46" s="7" t="s">
        <v>233</v>
      </c>
      <c r="H46" s="6" t="s">
        <v>44</v>
      </c>
    </row>
    <row r="47" customFormat="false" ht="25.5" hidden="false" customHeight="true" outlineLevel="0" collapsed="false">
      <c r="A47" s="6" t="s">
        <v>268</v>
      </c>
      <c r="B47" s="7" t="s">
        <v>269</v>
      </c>
      <c r="C47" s="6" t="s">
        <v>39</v>
      </c>
      <c r="D47" s="7" t="s">
        <v>270</v>
      </c>
      <c r="E47" s="7" t="s">
        <v>271</v>
      </c>
      <c r="F47" s="7" t="s">
        <v>272</v>
      </c>
      <c r="G47" s="7" t="s">
        <v>233</v>
      </c>
      <c r="H47" s="6" t="s">
        <v>44</v>
      </c>
    </row>
    <row r="48" customFormat="false" ht="25.5" hidden="false" customHeight="true" outlineLevel="0" collapsed="false">
      <c r="A48" s="6" t="s">
        <v>273</v>
      </c>
      <c r="B48" s="7" t="s">
        <v>274</v>
      </c>
      <c r="C48" s="6" t="s">
        <v>77</v>
      </c>
      <c r="D48" s="7" t="s">
        <v>275</v>
      </c>
      <c r="E48" s="7" t="s">
        <v>276</v>
      </c>
      <c r="F48" s="7" t="s">
        <v>277</v>
      </c>
      <c r="G48" s="7" t="s">
        <v>233</v>
      </c>
      <c r="H48" s="6" t="s">
        <v>44</v>
      </c>
    </row>
    <row r="49" customFormat="false" ht="25.5" hidden="false" customHeight="true" outlineLevel="0" collapsed="false">
      <c r="A49" s="6" t="s">
        <v>278</v>
      </c>
      <c r="B49" s="7" t="s">
        <v>279</v>
      </c>
      <c r="C49" s="6" t="s">
        <v>77</v>
      </c>
      <c r="D49" s="7" t="s">
        <v>280</v>
      </c>
      <c r="E49" s="7" t="s">
        <v>281</v>
      </c>
      <c r="F49" s="7" t="s">
        <v>282</v>
      </c>
      <c r="G49" s="7" t="s">
        <v>233</v>
      </c>
      <c r="H49" s="6" t="s">
        <v>44</v>
      </c>
    </row>
    <row r="50" customFormat="false" ht="39" hidden="false" customHeight="true" outlineLevel="0" collapsed="false">
      <c r="A50" s="6" t="s">
        <v>283</v>
      </c>
      <c r="B50" s="7" t="s">
        <v>284</v>
      </c>
      <c r="C50" s="6" t="s">
        <v>77</v>
      </c>
      <c r="D50" s="7" t="s">
        <v>285</v>
      </c>
      <c r="E50" s="7" t="s">
        <v>286</v>
      </c>
      <c r="F50" s="7" t="s">
        <v>287</v>
      </c>
      <c r="G50" s="7" t="s">
        <v>288</v>
      </c>
      <c r="H50" s="6" t="s">
        <v>44</v>
      </c>
    </row>
    <row r="51" customFormat="false" ht="39" hidden="false" customHeight="true" outlineLevel="0" collapsed="false">
      <c r="A51" s="6" t="s">
        <v>289</v>
      </c>
      <c r="B51" s="7" t="s">
        <v>290</v>
      </c>
      <c r="C51" s="6" t="s">
        <v>77</v>
      </c>
      <c r="D51" s="7" t="s">
        <v>291</v>
      </c>
      <c r="E51" s="7" t="s">
        <v>292</v>
      </c>
      <c r="F51" s="7" t="s">
        <v>293</v>
      </c>
      <c r="G51" s="7" t="s">
        <v>288</v>
      </c>
      <c r="H51" s="6" t="s">
        <v>44</v>
      </c>
    </row>
    <row r="52" customFormat="false" ht="39" hidden="false" customHeight="true" outlineLevel="0" collapsed="false">
      <c r="A52" s="6" t="s">
        <v>294</v>
      </c>
      <c r="B52" s="7" t="s">
        <v>295</v>
      </c>
      <c r="C52" s="6" t="s">
        <v>39</v>
      </c>
      <c r="D52" s="7" t="s">
        <v>296</v>
      </c>
      <c r="E52" s="7" t="s">
        <v>297</v>
      </c>
      <c r="F52" s="7" t="s">
        <v>298</v>
      </c>
      <c r="G52" s="7" t="s">
        <v>288</v>
      </c>
      <c r="H52" s="6" t="s">
        <v>44</v>
      </c>
    </row>
    <row r="53" customFormat="false" ht="39" hidden="false" customHeight="true" outlineLevel="0" collapsed="false">
      <c r="A53" s="6" t="s">
        <v>299</v>
      </c>
      <c r="B53" s="7" t="s">
        <v>300</v>
      </c>
      <c r="C53" s="6" t="s">
        <v>77</v>
      </c>
      <c r="D53" s="7" t="s">
        <v>301</v>
      </c>
      <c r="E53" s="7" t="s">
        <v>302</v>
      </c>
      <c r="F53" s="7" t="s">
        <v>303</v>
      </c>
      <c r="G53" s="7" t="s">
        <v>288</v>
      </c>
      <c r="H53" s="6" t="s">
        <v>44</v>
      </c>
    </row>
    <row r="54" customFormat="false" ht="25.5" hidden="false" customHeight="true" outlineLevel="0" collapsed="false">
      <c r="A54" s="6" t="s">
        <v>304</v>
      </c>
      <c r="B54" s="7" t="s">
        <v>305</v>
      </c>
      <c r="C54" s="6" t="s">
        <v>77</v>
      </c>
      <c r="D54" s="7" t="s">
        <v>306</v>
      </c>
      <c r="E54" s="7" t="s">
        <v>307</v>
      </c>
      <c r="F54" s="7" t="s">
        <v>308</v>
      </c>
      <c r="G54" s="7" t="s">
        <v>288</v>
      </c>
      <c r="H54" s="6" t="s">
        <v>44</v>
      </c>
    </row>
    <row r="55" customFormat="false" ht="25.5" hidden="false" customHeight="true" outlineLevel="0" collapsed="false">
      <c r="A55" s="6" t="s">
        <v>309</v>
      </c>
      <c r="B55" s="7" t="s">
        <v>310</v>
      </c>
      <c r="C55" s="6" t="s">
        <v>39</v>
      </c>
      <c r="D55" s="7" t="s">
        <v>311</v>
      </c>
      <c r="E55" s="7" t="s">
        <v>312</v>
      </c>
      <c r="F55" s="7" t="s">
        <v>313</v>
      </c>
      <c r="G55" s="7" t="s">
        <v>288</v>
      </c>
      <c r="H55" s="6" t="s">
        <v>44</v>
      </c>
    </row>
    <row r="56" customFormat="false" ht="51.75" hidden="false" customHeight="true" outlineLevel="0" collapsed="false">
      <c r="A56" s="6" t="s">
        <v>314</v>
      </c>
      <c r="B56" s="7" t="s">
        <v>315</v>
      </c>
      <c r="C56" s="6" t="s">
        <v>148</v>
      </c>
      <c r="D56" s="7" t="s">
        <v>316</v>
      </c>
      <c r="E56" s="7" t="s">
        <v>317</v>
      </c>
      <c r="F56" s="7" t="s">
        <v>318</v>
      </c>
      <c r="G56" s="7" t="s">
        <v>288</v>
      </c>
      <c r="H56" s="6" t="s">
        <v>44</v>
      </c>
    </row>
    <row r="57" customFormat="false" ht="25.5" hidden="false" customHeight="true" outlineLevel="0" collapsed="false">
      <c r="A57" s="6" t="s">
        <v>319</v>
      </c>
      <c r="B57" s="7" t="s">
        <v>320</v>
      </c>
      <c r="C57" s="6" t="s">
        <v>39</v>
      </c>
      <c r="D57" s="7" t="s">
        <v>321</v>
      </c>
      <c r="E57" s="7" t="s">
        <v>322</v>
      </c>
      <c r="F57" s="7" t="s">
        <v>323</v>
      </c>
      <c r="G57" s="7" t="s">
        <v>288</v>
      </c>
      <c r="H57" s="6" t="s">
        <v>44</v>
      </c>
    </row>
    <row r="58" customFormat="false" ht="25.5" hidden="false" customHeight="true" outlineLevel="0" collapsed="false">
      <c r="A58" s="6" t="s">
        <v>324</v>
      </c>
      <c r="B58" s="7" t="s">
        <v>325</v>
      </c>
      <c r="C58" s="6" t="s">
        <v>39</v>
      </c>
      <c r="D58" s="7" t="s">
        <v>326</v>
      </c>
      <c r="E58" s="7" t="s">
        <v>327</v>
      </c>
      <c r="F58" s="7" t="s">
        <v>328</v>
      </c>
      <c r="G58" s="7" t="s">
        <v>288</v>
      </c>
      <c r="H58" s="6" t="s">
        <v>44</v>
      </c>
    </row>
    <row r="59" customFormat="false" ht="25.5" hidden="false" customHeight="true" outlineLevel="0" collapsed="false">
      <c r="A59" s="6" t="s">
        <v>329</v>
      </c>
      <c r="B59" s="7" t="s">
        <v>330</v>
      </c>
      <c r="C59" s="6" t="s">
        <v>77</v>
      </c>
      <c r="D59" s="7" t="s">
        <v>331</v>
      </c>
      <c r="E59" s="7" t="s">
        <v>332</v>
      </c>
      <c r="F59" s="7" t="s">
        <v>333</v>
      </c>
      <c r="G59" s="7" t="s">
        <v>288</v>
      </c>
      <c r="H59" s="6" t="s">
        <v>44</v>
      </c>
    </row>
    <row r="60" customFormat="false" ht="25.5" hidden="false" customHeight="true" outlineLevel="0" collapsed="false">
      <c r="A60" s="6" t="s">
        <v>334</v>
      </c>
      <c r="B60" s="7" t="s">
        <v>335</v>
      </c>
      <c r="C60" s="6" t="s">
        <v>77</v>
      </c>
      <c r="D60" s="7" t="s">
        <v>336</v>
      </c>
      <c r="E60" s="7" t="s">
        <v>337</v>
      </c>
      <c r="F60" s="7" t="s">
        <v>338</v>
      </c>
      <c r="G60" s="7" t="s">
        <v>339</v>
      </c>
      <c r="H60" s="6" t="s">
        <v>44</v>
      </c>
    </row>
    <row r="61" customFormat="false" ht="25.5" hidden="false" customHeight="true" outlineLevel="0" collapsed="false">
      <c r="A61" s="6" t="s">
        <v>340</v>
      </c>
      <c r="B61" s="7" t="s">
        <v>341</v>
      </c>
      <c r="C61" s="6" t="s">
        <v>39</v>
      </c>
      <c r="D61" s="7" t="s">
        <v>342</v>
      </c>
      <c r="E61" s="7" t="s">
        <v>343</v>
      </c>
      <c r="F61" s="7" t="s">
        <v>344</v>
      </c>
      <c r="G61" s="7" t="s">
        <v>339</v>
      </c>
      <c r="H61" s="6" t="s">
        <v>44</v>
      </c>
    </row>
    <row r="62" customFormat="false" ht="25.5" hidden="false" customHeight="true" outlineLevel="0" collapsed="false">
      <c r="A62" s="6" t="s">
        <v>345</v>
      </c>
      <c r="B62" s="7" t="s">
        <v>346</v>
      </c>
      <c r="C62" s="6" t="s">
        <v>39</v>
      </c>
      <c r="D62" s="7" t="s">
        <v>347</v>
      </c>
      <c r="E62" s="7" t="s">
        <v>348</v>
      </c>
      <c r="F62" s="7" t="s">
        <v>349</v>
      </c>
      <c r="G62" s="7" t="s">
        <v>339</v>
      </c>
      <c r="H62" s="6" t="s">
        <v>44</v>
      </c>
    </row>
    <row r="63" customFormat="false" ht="39" hidden="false" customHeight="true" outlineLevel="0" collapsed="false">
      <c r="A63" s="6" t="s">
        <v>350</v>
      </c>
      <c r="B63" s="7" t="s">
        <v>351</v>
      </c>
      <c r="C63" s="6" t="s">
        <v>39</v>
      </c>
      <c r="D63" s="7" t="s">
        <v>352</v>
      </c>
      <c r="E63" s="7" t="s">
        <v>353</v>
      </c>
      <c r="F63" s="7" t="s">
        <v>354</v>
      </c>
      <c r="G63" s="7" t="s">
        <v>339</v>
      </c>
      <c r="H63" s="6" t="s">
        <v>44</v>
      </c>
    </row>
    <row r="64" customFormat="false" ht="25.5" hidden="false" customHeight="true" outlineLevel="0" collapsed="false">
      <c r="A64" s="6" t="s">
        <v>355</v>
      </c>
      <c r="B64" s="7" t="s">
        <v>356</v>
      </c>
      <c r="C64" s="6" t="s">
        <v>39</v>
      </c>
      <c r="D64" s="7" t="s">
        <v>357</v>
      </c>
      <c r="E64" s="7" t="s">
        <v>358</v>
      </c>
      <c r="F64" s="7" t="s">
        <v>359</v>
      </c>
      <c r="G64" s="7" t="s">
        <v>339</v>
      </c>
      <c r="H64" s="6" t="s">
        <v>44</v>
      </c>
    </row>
    <row r="65" customFormat="false" ht="25.5" hidden="false" customHeight="true" outlineLevel="0" collapsed="false">
      <c r="A65" s="6" t="s">
        <v>360</v>
      </c>
      <c r="B65" s="7" t="s">
        <v>361</v>
      </c>
      <c r="C65" s="6" t="s">
        <v>77</v>
      </c>
      <c r="D65" s="7" t="s">
        <v>362</v>
      </c>
      <c r="E65" s="7" t="s">
        <v>363</v>
      </c>
      <c r="F65" s="7" t="s">
        <v>364</v>
      </c>
      <c r="G65" s="7" t="s">
        <v>339</v>
      </c>
      <c r="H65" s="6" t="s">
        <v>44</v>
      </c>
    </row>
    <row r="66" customFormat="false" ht="25.5" hidden="false" customHeight="true" outlineLevel="0" collapsed="false">
      <c r="A66" s="6" t="s">
        <v>365</v>
      </c>
      <c r="B66" s="7" t="s">
        <v>366</v>
      </c>
      <c r="C66" s="6" t="s">
        <v>39</v>
      </c>
      <c r="D66" s="7" t="s">
        <v>367</v>
      </c>
      <c r="E66" s="7" t="s">
        <v>368</v>
      </c>
      <c r="F66" s="7" t="s">
        <v>369</v>
      </c>
      <c r="G66" s="7" t="s">
        <v>339</v>
      </c>
      <c r="H66" s="6" t="s">
        <v>44</v>
      </c>
    </row>
    <row r="67" customFormat="false" ht="25.5" hidden="false" customHeight="true" outlineLevel="0" collapsed="false">
      <c r="A67" s="6" t="s">
        <v>370</v>
      </c>
      <c r="B67" s="7" t="s">
        <v>371</v>
      </c>
      <c r="C67" s="6" t="s">
        <v>39</v>
      </c>
      <c r="D67" s="7" t="s">
        <v>372</v>
      </c>
      <c r="E67" s="7" t="s">
        <v>373</v>
      </c>
      <c r="F67" s="7" t="s">
        <v>262</v>
      </c>
      <c r="G67" s="7" t="s">
        <v>339</v>
      </c>
      <c r="H67" s="6" t="s">
        <v>44</v>
      </c>
    </row>
    <row r="68" customFormat="false" ht="25.5" hidden="false" customHeight="true" outlineLevel="0" collapsed="false">
      <c r="A68" s="6" t="s">
        <v>374</v>
      </c>
      <c r="B68" s="7" t="s">
        <v>375</v>
      </c>
      <c r="C68" s="6" t="s">
        <v>77</v>
      </c>
      <c r="D68" s="7" t="s">
        <v>376</v>
      </c>
      <c r="E68" s="7" t="s">
        <v>377</v>
      </c>
      <c r="F68" s="7" t="s">
        <v>378</v>
      </c>
      <c r="G68" s="7" t="s">
        <v>339</v>
      </c>
      <c r="H68" s="6" t="s">
        <v>44</v>
      </c>
    </row>
    <row r="69" customFormat="false" ht="39" hidden="false" customHeight="true" outlineLevel="0" collapsed="false">
      <c r="A69" s="6" t="s">
        <v>379</v>
      </c>
      <c r="B69" s="7" t="s">
        <v>380</v>
      </c>
      <c r="C69" s="6" t="s">
        <v>77</v>
      </c>
      <c r="D69" s="7" t="s">
        <v>381</v>
      </c>
      <c r="E69" s="7" t="s">
        <v>382</v>
      </c>
      <c r="F69" s="7" t="s">
        <v>383</v>
      </c>
      <c r="G69" s="7" t="s">
        <v>384</v>
      </c>
      <c r="H69" s="6" t="s">
        <v>44</v>
      </c>
    </row>
    <row r="70" customFormat="false" ht="25.5" hidden="false" customHeight="true" outlineLevel="0" collapsed="false">
      <c r="A70" s="6" t="s">
        <v>385</v>
      </c>
      <c r="B70" s="7" t="s">
        <v>386</v>
      </c>
      <c r="C70" s="6" t="s">
        <v>77</v>
      </c>
      <c r="D70" s="7" t="s">
        <v>387</v>
      </c>
      <c r="E70" s="7" t="s">
        <v>388</v>
      </c>
      <c r="F70" s="7" t="s">
        <v>389</v>
      </c>
      <c r="G70" s="7" t="s">
        <v>384</v>
      </c>
      <c r="H70" s="6" t="s">
        <v>44</v>
      </c>
    </row>
    <row r="71" customFormat="false" ht="25.5" hidden="false" customHeight="true" outlineLevel="0" collapsed="false">
      <c r="A71" s="6" t="s">
        <v>390</v>
      </c>
      <c r="B71" s="7" t="s">
        <v>391</v>
      </c>
      <c r="C71" s="6" t="s">
        <v>77</v>
      </c>
      <c r="D71" s="7" t="s">
        <v>392</v>
      </c>
      <c r="E71" s="7" t="s">
        <v>393</v>
      </c>
      <c r="F71" s="7" t="s">
        <v>394</v>
      </c>
      <c r="G71" s="7" t="s">
        <v>384</v>
      </c>
      <c r="H71" s="6" t="s">
        <v>44</v>
      </c>
    </row>
    <row r="72" customFormat="false" ht="39" hidden="false" customHeight="true" outlineLevel="0" collapsed="false">
      <c r="A72" s="6" t="s">
        <v>395</v>
      </c>
      <c r="B72" s="7" t="s">
        <v>396</v>
      </c>
      <c r="C72" s="6" t="s">
        <v>77</v>
      </c>
      <c r="D72" s="7" t="s">
        <v>397</v>
      </c>
      <c r="E72" s="7" t="s">
        <v>398</v>
      </c>
      <c r="F72" s="7" t="s">
        <v>399</v>
      </c>
      <c r="G72" s="7" t="s">
        <v>384</v>
      </c>
      <c r="H72" s="6" t="s">
        <v>44</v>
      </c>
    </row>
    <row r="73" customFormat="false" ht="25.5" hidden="false" customHeight="true" outlineLevel="0" collapsed="false">
      <c r="A73" s="6" t="s">
        <v>400</v>
      </c>
      <c r="B73" s="7" t="s">
        <v>401</v>
      </c>
      <c r="C73" s="6" t="s">
        <v>77</v>
      </c>
      <c r="D73" s="7" t="s">
        <v>402</v>
      </c>
      <c r="E73" s="7" t="s">
        <v>403</v>
      </c>
      <c r="F73" s="7" t="s">
        <v>404</v>
      </c>
      <c r="G73" s="7" t="s">
        <v>384</v>
      </c>
      <c r="H73" s="6" t="s">
        <v>44</v>
      </c>
    </row>
    <row r="74" customFormat="false" ht="25.5" hidden="false" customHeight="true" outlineLevel="0" collapsed="false">
      <c r="A74" s="6" t="s">
        <v>405</v>
      </c>
      <c r="B74" s="7" t="s">
        <v>406</v>
      </c>
      <c r="C74" s="6" t="s">
        <v>77</v>
      </c>
      <c r="D74" s="7" t="s">
        <v>407</v>
      </c>
      <c r="E74" s="7" t="s">
        <v>408</v>
      </c>
      <c r="F74" s="7" t="s">
        <v>409</v>
      </c>
      <c r="G74" s="7" t="s">
        <v>384</v>
      </c>
      <c r="H74" s="6" t="s">
        <v>44</v>
      </c>
    </row>
    <row r="75" customFormat="false" ht="39" hidden="false" customHeight="true" outlineLevel="0" collapsed="false">
      <c r="A75" s="6" t="s">
        <v>410</v>
      </c>
      <c r="B75" s="7" t="s">
        <v>411</v>
      </c>
      <c r="C75" s="6" t="s">
        <v>39</v>
      </c>
      <c r="D75" s="7" t="s">
        <v>412</v>
      </c>
      <c r="E75" s="7" t="s">
        <v>413</v>
      </c>
      <c r="F75" s="7" t="s">
        <v>414</v>
      </c>
      <c r="G75" s="7" t="s">
        <v>384</v>
      </c>
      <c r="H75" s="6" t="s">
        <v>44</v>
      </c>
    </row>
    <row r="76" customFormat="false" ht="25.5" hidden="false" customHeight="true" outlineLevel="0" collapsed="false">
      <c r="A76" s="6" t="s">
        <v>415</v>
      </c>
      <c r="B76" s="7" t="s">
        <v>416</v>
      </c>
      <c r="C76" s="6" t="s">
        <v>39</v>
      </c>
      <c r="D76" s="7" t="s">
        <v>417</v>
      </c>
      <c r="E76" s="7" t="s">
        <v>418</v>
      </c>
      <c r="F76" s="7" t="s">
        <v>419</v>
      </c>
      <c r="G76" s="7" t="s">
        <v>384</v>
      </c>
      <c r="H76" s="6" t="s">
        <v>44</v>
      </c>
    </row>
    <row r="77" customFormat="false" ht="39" hidden="false" customHeight="true" outlineLevel="0" collapsed="false">
      <c r="A77" s="6" t="s">
        <v>420</v>
      </c>
      <c r="B77" s="7" t="s">
        <v>421</v>
      </c>
      <c r="C77" s="6" t="s">
        <v>39</v>
      </c>
      <c r="D77" s="7" t="s">
        <v>422</v>
      </c>
      <c r="E77" s="7" t="s">
        <v>423</v>
      </c>
      <c r="F77" s="7" t="s">
        <v>217</v>
      </c>
      <c r="G77" s="7" t="s">
        <v>384</v>
      </c>
      <c r="H77" s="6" t="s">
        <v>44</v>
      </c>
    </row>
    <row r="78" customFormat="false" ht="25.5" hidden="false" customHeight="true" outlineLevel="0" collapsed="false">
      <c r="A78" s="6" t="s">
        <v>424</v>
      </c>
      <c r="B78" s="7" t="s">
        <v>425</v>
      </c>
      <c r="C78" s="6" t="s">
        <v>77</v>
      </c>
      <c r="D78" s="7" t="s">
        <v>426</v>
      </c>
      <c r="E78" s="7" t="s">
        <v>427</v>
      </c>
      <c r="F78" s="7" t="s">
        <v>428</v>
      </c>
      <c r="G78" s="7" t="s">
        <v>384</v>
      </c>
      <c r="H78" s="6" t="s">
        <v>44</v>
      </c>
    </row>
    <row r="79" customFormat="false" ht="25.5" hidden="false" customHeight="true" outlineLevel="0" collapsed="false">
      <c r="A79" s="6" t="s">
        <v>429</v>
      </c>
      <c r="B79" s="7" t="s">
        <v>430</v>
      </c>
      <c r="C79" s="6" t="s">
        <v>77</v>
      </c>
      <c r="D79" s="7" t="s">
        <v>431</v>
      </c>
      <c r="E79" s="7" t="s">
        <v>432</v>
      </c>
      <c r="F79" s="7" t="s">
        <v>433</v>
      </c>
      <c r="G79" s="7" t="s">
        <v>384</v>
      </c>
      <c r="H79" s="6" t="s">
        <v>44</v>
      </c>
    </row>
    <row r="80" customFormat="false" ht="39" hidden="false" customHeight="true" outlineLevel="0" collapsed="false">
      <c r="A80" s="6" t="s">
        <v>434</v>
      </c>
      <c r="B80" s="7" t="s">
        <v>435</v>
      </c>
      <c r="C80" s="6" t="s">
        <v>77</v>
      </c>
      <c r="D80" s="7" t="s">
        <v>436</v>
      </c>
      <c r="E80" s="7" t="s">
        <v>437</v>
      </c>
      <c r="F80" s="7" t="s">
        <v>438</v>
      </c>
      <c r="G80" s="7" t="s">
        <v>439</v>
      </c>
      <c r="H80" s="6" t="s">
        <v>44</v>
      </c>
    </row>
    <row r="81" customFormat="false" ht="39" hidden="false" customHeight="true" outlineLevel="0" collapsed="false">
      <c r="A81" s="6" t="s">
        <v>440</v>
      </c>
      <c r="B81" s="7" t="s">
        <v>441</v>
      </c>
      <c r="C81" s="6" t="s">
        <v>39</v>
      </c>
      <c r="D81" s="7" t="s">
        <v>442</v>
      </c>
      <c r="E81" s="7" t="s">
        <v>443</v>
      </c>
      <c r="F81" s="7" t="s">
        <v>444</v>
      </c>
      <c r="G81" s="7" t="s">
        <v>439</v>
      </c>
      <c r="H81" s="6" t="s">
        <v>44</v>
      </c>
    </row>
    <row r="82" customFormat="false" ht="25.5" hidden="false" customHeight="true" outlineLevel="0" collapsed="false">
      <c r="A82" s="6" t="s">
        <v>445</v>
      </c>
      <c r="B82" s="7" t="s">
        <v>446</v>
      </c>
      <c r="C82" s="6" t="s">
        <v>39</v>
      </c>
      <c r="D82" s="7" t="s">
        <v>447</v>
      </c>
      <c r="E82" s="7" t="s">
        <v>448</v>
      </c>
      <c r="F82" s="7" t="s">
        <v>449</v>
      </c>
      <c r="G82" s="7" t="s">
        <v>439</v>
      </c>
      <c r="H82" s="6" t="s">
        <v>44</v>
      </c>
    </row>
    <row r="83" customFormat="false" ht="25.5" hidden="false" customHeight="true" outlineLevel="0" collapsed="false">
      <c r="A83" s="6" t="s">
        <v>450</v>
      </c>
      <c r="B83" s="7" t="s">
        <v>451</v>
      </c>
      <c r="C83" s="6" t="s">
        <v>77</v>
      </c>
      <c r="D83" s="7" t="s">
        <v>452</v>
      </c>
      <c r="E83" s="7" t="s">
        <v>453</v>
      </c>
      <c r="F83" s="7" t="s">
        <v>454</v>
      </c>
      <c r="G83" s="7" t="s">
        <v>439</v>
      </c>
      <c r="H83" s="6" t="s">
        <v>44</v>
      </c>
    </row>
    <row r="84" customFormat="false" ht="51.75" hidden="false" customHeight="true" outlineLevel="0" collapsed="false">
      <c r="A84" s="6" t="s">
        <v>455</v>
      </c>
      <c r="B84" s="7" t="s">
        <v>456</v>
      </c>
      <c r="C84" s="6" t="s">
        <v>77</v>
      </c>
      <c r="D84" s="7" t="s">
        <v>457</v>
      </c>
      <c r="E84" s="7" t="s">
        <v>458</v>
      </c>
      <c r="F84" s="7" t="s">
        <v>459</v>
      </c>
      <c r="G84" s="7" t="s">
        <v>439</v>
      </c>
      <c r="H84" s="6" t="s">
        <v>44</v>
      </c>
    </row>
    <row r="85" customFormat="false" ht="39" hidden="false" customHeight="true" outlineLevel="0" collapsed="false">
      <c r="A85" s="6" t="s">
        <v>460</v>
      </c>
      <c r="B85" s="7" t="s">
        <v>461</v>
      </c>
      <c r="C85" s="6" t="s">
        <v>77</v>
      </c>
      <c r="D85" s="7" t="s">
        <v>462</v>
      </c>
      <c r="E85" s="7" t="s">
        <v>463</v>
      </c>
      <c r="F85" s="7" t="s">
        <v>464</v>
      </c>
      <c r="G85" s="7" t="s">
        <v>439</v>
      </c>
      <c r="H85" s="6" t="s">
        <v>44</v>
      </c>
    </row>
    <row r="86" customFormat="false" ht="39" hidden="false" customHeight="true" outlineLevel="0" collapsed="false">
      <c r="A86" s="6" t="s">
        <v>465</v>
      </c>
      <c r="B86" s="7" t="s">
        <v>466</v>
      </c>
      <c r="C86" s="6" t="s">
        <v>77</v>
      </c>
      <c r="D86" s="7" t="s">
        <v>467</v>
      </c>
      <c r="E86" s="7" t="s">
        <v>468</v>
      </c>
      <c r="F86" s="7" t="s">
        <v>469</v>
      </c>
      <c r="G86" s="7" t="s">
        <v>439</v>
      </c>
      <c r="H86" s="6" t="s">
        <v>44</v>
      </c>
    </row>
    <row r="87" customFormat="false" ht="25.5" hidden="false" customHeight="true" outlineLevel="0" collapsed="false">
      <c r="A87" s="6" t="s">
        <v>470</v>
      </c>
      <c r="B87" s="7" t="s">
        <v>471</v>
      </c>
      <c r="C87" s="6" t="s">
        <v>77</v>
      </c>
      <c r="D87" s="7" t="s">
        <v>472</v>
      </c>
      <c r="E87" s="7" t="s">
        <v>473</v>
      </c>
      <c r="F87" s="7" t="s">
        <v>474</v>
      </c>
      <c r="G87" s="7" t="s">
        <v>439</v>
      </c>
      <c r="H87" s="6" t="s">
        <v>44</v>
      </c>
    </row>
    <row r="88" customFormat="false" ht="25.5" hidden="false" customHeight="true" outlineLevel="0" collapsed="false">
      <c r="A88" s="6" t="s">
        <v>475</v>
      </c>
      <c r="B88" s="7" t="s">
        <v>476</v>
      </c>
      <c r="C88" s="6" t="s">
        <v>77</v>
      </c>
      <c r="D88" s="7" t="s">
        <v>477</v>
      </c>
      <c r="E88" s="7" t="s">
        <v>478</v>
      </c>
      <c r="F88" s="7" t="s">
        <v>479</v>
      </c>
      <c r="G88" s="7" t="s">
        <v>480</v>
      </c>
      <c r="H88" s="6" t="s">
        <v>44</v>
      </c>
    </row>
    <row r="89" customFormat="false" ht="25.5" hidden="false" customHeight="true" outlineLevel="0" collapsed="false">
      <c r="A89" s="6" t="s">
        <v>481</v>
      </c>
      <c r="B89" s="7" t="s">
        <v>482</v>
      </c>
      <c r="C89" s="6" t="s">
        <v>77</v>
      </c>
      <c r="D89" s="7" t="s">
        <v>483</v>
      </c>
      <c r="E89" s="7" t="s">
        <v>484</v>
      </c>
      <c r="F89" s="7" t="s">
        <v>485</v>
      </c>
      <c r="G89" s="7" t="s">
        <v>480</v>
      </c>
      <c r="H89" s="6" t="s">
        <v>44</v>
      </c>
    </row>
    <row r="90" customFormat="false" ht="25.5" hidden="false" customHeight="true" outlineLevel="0" collapsed="false">
      <c r="A90" s="6" t="s">
        <v>486</v>
      </c>
      <c r="B90" s="7" t="s">
        <v>487</v>
      </c>
      <c r="C90" s="6" t="s">
        <v>39</v>
      </c>
      <c r="D90" s="7" t="s">
        <v>488</v>
      </c>
      <c r="E90" s="7" t="s">
        <v>489</v>
      </c>
      <c r="F90" s="7" t="s">
        <v>490</v>
      </c>
      <c r="G90" s="7" t="s">
        <v>480</v>
      </c>
      <c r="H90" s="6" t="s">
        <v>44</v>
      </c>
    </row>
    <row r="91" customFormat="false" ht="25.5" hidden="false" customHeight="true" outlineLevel="0" collapsed="false">
      <c r="A91" s="6" t="s">
        <v>491</v>
      </c>
      <c r="B91" s="7" t="s">
        <v>492</v>
      </c>
      <c r="C91" s="6" t="s">
        <v>39</v>
      </c>
      <c r="D91" s="7" t="s">
        <v>493</v>
      </c>
      <c r="E91" s="7" t="s">
        <v>494</v>
      </c>
      <c r="F91" s="7" t="s">
        <v>262</v>
      </c>
      <c r="G91" s="7" t="s">
        <v>480</v>
      </c>
      <c r="H91" s="6" t="s">
        <v>44</v>
      </c>
    </row>
    <row r="92" customFormat="false" ht="25.5" hidden="false" customHeight="true" outlineLevel="0" collapsed="false">
      <c r="A92" s="6" t="s">
        <v>495</v>
      </c>
      <c r="B92" s="7" t="s">
        <v>496</v>
      </c>
      <c r="C92" s="6" t="s">
        <v>77</v>
      </c>
      <c r="D92" s="7" t="s">
        <v>497</v>
      </c>
      <c r="E92" s="7" t="s">
        <v>498</v>
      </c>
      <c r="F92" s="7" t="s">
        <v>499</v>
      </c>
      <c r="G92" s="7" t="s">
        <v>480</v>
      </c>
      <c r="H92" s="6" t="s">
        <v>44</v>
      </c>
    </row>
    <row r="93" customFormat="false" ht="39" hidden="false" customHeight="true" outlineLevel="0" collapsed="false">
      <c r="A93" s="6" t="s">
        <v>500</v>
      </c>
      <c r="B93" s="7" t="s">
        <v>501</v>
      </c>
      <c r="C93" s="6" t="s">
        <v>39</v>
      </c>
      <c r="D93" s="7" t="s">
        <v>502</v>
      </c>
      <c r="E93" s="7" t="s">
        <v>503</v>
      </c>
      <c r="F93" s="7" t="s">
        <v>504</v>
      </c>
      <c r="G93" s="7" t="s">
        <v>480</v>
      </c>
      <c r="H93" s="6" t="s">
        <v>44</v>
      </c>
    </row>
    <row r="94" customFormat="false" ht="64.5" hidden="false" customHeight="true" outlineLevel="0" collapsed="false">
      <c r="A94" s="6" t="s">
        <v>505</v>
      </c>
      <c r="B94" s="7" t="s">
        <v>506</v>
      </c>
      <c r="C94" s="6" t="s">
        <v>77</v>
      </c>
      <c r="D94" s="7" t="s">
        <v>507</v>
      </c>
      <c r="E94" s="7" t="s">
        <v>508</v>
      </c>
      <c r="F94" s="7" t="s">
        <v>509</v>
      </c>
      <c r="G94" s="7" t="s">
        <v>480</v>
      </c>
      <c r="H94" s="6" t="s">
        <v>44</v>
      </c>
    </row>
    <row r="95" customFormat="false" ht="39" hidden="false" customHeight="true" outlineLevel="0" collapsed="false">
      <c r="A95" s="6" t="s">
        <v>510</v>
      </c>
      <c r="B95" s="7" t="s">
        <v>511</v>
      </c>
      <c r="C95" s="6" t="s">
        <v>148</v>
      </c>
      <c r="D95" s="7" t="s">
        <v>512</v>
      </c>
      <c r="E95" s="7" t="s">
        <v>513</v>
      </c>
      <c r="F95" s="7" t="s">
        <v>514</v>
      </c>
      <c r="G95" s="7" t="s">
        <v>480</v>
      </c>
      <c r="H95" s="6" t="s">
        <v>44</v>
      </c>
    </row>
    <row r="96" customFormat="false" ht="39" hidden="false" customHeight="true" outlineLevel="0" collapsed="false">
      <c r="A96" s="6" t="s">
        <v>515</v>
      </c>
      <c r="B96" s="7" t="s">
        <v>516</v>
      </c>
      <c r="C96" s="6" t="s">
        <v>148</v>
      </c>
      <c r="D96" s="7" t="s">
        <v>517</v>
      </c>
      <c r="E96" s="7" t="s">
        <v>518</v>
      </c>
      <c r="F96" s="7" t="s">
        <v>519</v>
      </c>
      <c r="G96" s="7" t="s">
        <v>480</v>
      </c>
      <c r="H96" s="6" t="s">
        <v>44</v>
      </c>
    </row>
    <row r="97" customFormat="false" ht="25.5" hidden="false" customHeight="true" outlineLevel="0" collapsed="false">
      <c r="A97" s="6" t="s">
        <v>520</v>
      </c>
      <c r="B97" s="7" t="s">
        <v>521</v>
      </c>
      <c r="C97" s="6" t="s">
        <v>77</v>
      </c>
      <c r="D97" s="7" t="s">
        <v>522</v>
      </c>
      <c r="E97" s="7" t="s">
        <v>523</v>
      </c>
      <c r="F97" s="7" t="s">
        <v>524</v>
      </c>
      <c r="G97" s="7" t="s">
        <v>480</v>
      </c>
      <c r="H97" s="6" t="s">
        <v>44</v>
      </c>
    </row>
    <row r="98" customFormat="false" ht="39" hidden="false" customHeight="true" outlineLevel="0" collapsed="false">
      <c r="A98" s="6" t="s">
        <v>525</v>
      </c>
      <c r="B98" s="7" t="s">
        <v>526</v>
      </c>
      <c r="C98" s="6" t="s">
        <v>77</v>
      </c>
      <c r="D98" s="7" t="s">
        <v>527</v>
      </c>
      <c r="E98" s="7" t="s">
        <v>528</v>
      </c>
      <c r="F98" s="7" t="s">
        <v>529</v>
      </c>
      <c r="G98" s="7" t="s">
        <v>480</v>
      </c>
      <c r="H98" s="6" t="s">
        <v>44</v>
      </c>
    </row>
    <row r="99" customFormat="false" ht="25.5" hidden="false" customHeight="true" outlineLevel="0" collapsed="false">
      <c r="A99" s="6" t="s">
        <v>530</v>
      </c>
      <c r="B99" s="7" t="s">
        <v>531</v>
      </c>
      <c r="C99" s="6" t="s">
        <v>77</v>
      </c>
      <c r="D99" s="7" t="s">
        <v>532</v>
      </c>
      <c r="E99" s="7" t="s">
        <v>533</v>
      </c>
      <c r="F99" s="7" t="s">
        <v>534</v>
      </c>
      <c r="G99" s="7" t="s">
        <v>480</v>
      </c>
      <c r="H99" s="6" t="s">
        <v>44</v>
      </c>
    </row>
    <row r="100" customFormat="false" ht="39" hidden="false" customHeight="true" outlineLevel="0" collapsed="false">
      <c r="A100" s="6" t="s">
        <v>535</v>
      </c>
      <c r="B100" s="7" t="s">
        <v>536</v>
      </c>
      <c r="C100" s="6" t="s">
        <v>77</v>
      </c>
      <c r="D100" s="7" t="s">
        <v>537</v>
      </c>
      <c r="E100" s="7" t="s">
        <v>538</v>
      </c>
      <c r="F100" s="7" t="s">
        <v>539</v>
      </c>
      <c r="G100" s="7" t="s">
        <v>480</v>
      </c>
      <c r="H100" s="6" t="s">
        <v>44</v>
      </c>
    </row>
    <row r="101" customFormat="false" ht="25.5" hidden="false" customHeight="true" outlineLevel="0" collapsed="false">
      <c r="A101" s="6" t="s">
        <v>540</v>
      </c>
      <c r="B101" s="7" t="s">
        <v>541</v>
      </c>
      <c r="C101" s="6" t="s">
        <v>39</v>
      </c>
      <c r="D101" s="7" t="s">
        <v>542</v>
      </c>
      <c r="E101" s="7" t="s">
        <v>543</v>
      </c>
      <c r="F101" s="7" t="s">
        <v>544</v>
      </c>
      <c r="G101" s="7" t="s">
        <v>545</v>
      </c>
      <c r="H101" s="6" t="s">
        <v>44</v>
      </c>
    </row>
    <row r="102" customFormat="false" ht="39" hidden="false" customHeight="true" outlineLevel="0" collapsed="false">
      <c r="A102" s="6" t="s">
        <v>546</v>
      </c>
      <c r="B102" s="7" t="s">
        <v>547</v>
      </c>
      <c r="C102" s="6" t="s">
        <v>77</v>
      </c>
      <c r="D102" s="7" t="s">
        <v>548</v>
      </c>
      <c r="E102" s="7" t="s">
        <v>549</v>
      </c>
      <c r="F102" s="7" t="s">
        <v>550</v>
      </c>
      <c r="G102" s="7" t="s">
        <v>545</v>
      </c>
      <c r="H102" s="6" t="s">
        <v>44</v>
      </c>
    </row>
    <row r="103" customFormat="false" ht="25.5" hidden="false" customHeight="true" outlineLevel="0" collapsed="false">
      <c r="A103" s="6" t="s">
        <v>551</v>
      </c>
      <c r="B103" s="7" t="s">
        <v>552</v>
      </c>
      <c r="C103" s="6" t="s">
        <v>39</v>
      </c>
      <c r="D103" s="7" t="s">
        <v>553</v>
      </c>
      <c r="E103" s="7" t="s">
        <v>554</v>
      </c>
      <c r="F103" s="7" t="s">
        <v>555</v>
      </c>
      <c r="G103" s="7" t="s">
        <v>545</v>
      </c>
      <c r="H103" s="6" t="s">
        <v>44</v>
      </c>
    </row>
    <row r="104" customFormat="false" ht="51.75" hidden="false" customHeight="true" outlineLevel="0" collapsed="false">
      <c r="A104" s="6" t="s">
        <v>556</v>
      </c>
      <c r="B104" s="7" t="s">
        <v>557</v>
      </c>
      <c r="C104" s="6" t="s">
        <v>39</v>
      </c>
      <c r="D104" s="7" t="s">
        <v>558</v>
      </c>
      <c r="E104" s="7" t="s">
        <v>559</v>
      </c>
      <c r="F104" s="7" t="s">
        <v>560</v>
      </c>
      <c r="G104" s="7" t="s">
        <v>545</v>
      </c>
      <c r="H104" s="6" t="s">
        <v>44</v>
      </c>
    </row>
    <row r="105" customFormat="false" ht="39" hidden="false" customHeight="true" outlineLevel="0" collapsed="false">
      <c r="A105" s="6" t="s">
        <v>561</v>
      </c>
      <c r="B105" s="7" t="s">
        <v>562</v>
      </c>
      <c r="C105" s="6" t="s">
        <v>77</v>
      </c>
      <c r="D105" s="7" t="s">
        <v>563</v>
      </c>
      <c r="E105" s="7" t="s">
        <v>564</v>
      </c>
      <c r="F105" s="7" t="s">
        <v>565</v>
      </c>
      <c r="G105" s="7" t="s">
        <v>545</v>
      </c>
      <c r="H105" s="6" t="s">
        <v>44</v>
      </c>
    </row>
    <row r="106" customFormat="false" ht="25.5" hidden="false" customHeight="true" outlineLevel="0" collapsed="false">
      <c r="A106" s="6" t="s">
        <v>566</v>
      </c>
      <c r="B106" s="7" t="s">
        <v>567</v>
      </c>
      <c r="C106" s="6" t="s">
        <v>77</v>
      </c>
      <c r="D106" s="7" t="s">
        <v>568</v>
      </c>
      <c r="E106" s="7" t="s">
        <v>569</v>
      </c>
      <c r="F106" s="7" t="s">
        <v>570</v>
      </c>
      <c r="G106" s="7" t="s">
        <v>545</v>
      </c>
      <c r="H106" s="6" t="s">
        <v>44</v>
      </c>
    </row>
    <row r="107" customFormat="false" ht="25.5" hidden="false" customHeight="true" outlineLevel="0" collapsed="false">
      <c r="A107" s="6" t="s">
        <v>571</v>
      </c>
      <c r="B107" s="7" t="s">
        <v>572</v>
      </c>
      <c r="C107" s="6" t="s">
        <v>77</v>
      </c>
      <c r="D107" s="7" t="s">
        <v>573</v>
      </c>
      <c r="E107" s="7" t="s">
        <v>574</v>
      </c>
      <c r="F107" s="7" t="s">
        <v>575</v>
      </c>
      <c r="G107" s="7" t="s">
        <v>545</v>
      </c>
      <c r="H107" s="6" t="s">
        <v>44</v>
      </c>
    </row>
    <row r="108" customFormat="false" ht="25.5" hidden="false" customHeight="true" outlineLevel="0" collapsed="false">
      <c r="A108" s="6" t="s">
        <v>576</v>
      </c>
      <c r="B108" s="7" t="s">
        <v>577</v>
      </c>
      <c r="C108" s="6" t="s">
        <v>39</v>
      </c>
      <c r="D108" s="7" t="s">
        <v>578</v>
      </c>
      <c r="E108" s="7" t="s">
        <v>579</v>
      </c>
      <c r="F108" s="7" t="s">
        <v>580</v>
      </c>
      <c r="G108" s="7" t="s">
        <v>545</v>
      </c>
      <c r="H108" s="6" t="s">
        <v>44</v>
      </c>
    </row>
    <row r="109" customFormat="false" ht="51.75" hidden="false" customHeight="true" outlineLevel="0" collapsed="false">
      <c r="A109" s="6" t="s">
        <v>581</v>
      </c>
      <c r="B109" s="7" t="s">
        <v>582</v>
      </c>
      <c r="C109" s="6" t="s">
        <v>148</v>
      </c>
      <c r="D109" s="7" t="s">
        <v>583</v>
      </c>
      <c r="E109" s="7" t="s">
        <v>584</v>
      </c>
      <c r="F109" s="7" t="s">
        <v>585</v>
      </c>
      <c r="G109" s="7" t="s">
        <v>545</v>
      </c>
      <c r="H109" s="6" t="s">
        <v>44</v>
      </c>
    </row>
    <row r="110" customFormat="false" ht="25.5" hidden="false" customHeight="true" outlineLevel="0" collapsed="false">
      <c r="A110" s="6" t="s">
        <v>586</v>
      </c>
      <c r="B110" s="7" t="s">
        <v>587</v>
      </c>
      <c r="C110" s="6" t="s">
        <v>39</v>
      </c>
      <c r="D110" s="7" t="s">
        <v>588</v>
      </c>
      <c r="E110" s="7" t="s">
        <v>589</v>
      </c>
      <c r="F110" s="7" t="s">
        <v>262</v>
      </c>
      <c r="G110" s="7" t="s">
        <v>545</v>
      </c>
      <c r="H110" s="6" t="s">
        <v>44</v>
      </c>
    </row>
    <row r="111" customFormat="false" ht="25.5" hidden="false" customHeight="true" outlineLevel="0" collapsed="false">
      <c r="A111" s="6" t="s">
        <v>590</v>
      </c>
      <c r="B111" s="7" t="s">
        <v>591</v>
      </c>
      <c r="C111" s="6" t="s">
        <v>39</v>
      </c>
      <c r="D111" s="7" t="s">
        <v>592</v>
      </c>
      <c r="E111" s="7" t="s">
        <v>593</v>
      </c>
      <c r="F111" s="7" t="s">
        <v>262</v>
      </c>
      <c r="G111" s="7" t="s">
        <v>545</v>
      </c>
      <c r="H111" s="6" t="s">
        <v>44</v>
      </c>
    </row>
    <row r="112" customFormat="false" ht="25.5" hidden="false" customHeight="true" outlineLevel="0" collapsed="false">
      <c r="A112" s="6" t="s">
        <v>594</v>
      </c>
      <c r="B112" s="7" t="s">
        <v>595</v>
      </c>
      <c r="C112" s="6" t="s">
        <v>39</v>
      </c>
      <c r="D112" s="7" t="s">
        <v>596</v>
      </c>
      <c r="E112" s="7" t="s">
        <v>597</v>
      </c>
      <c r="F112" s="7" t="s">
        <v>598</v>
      </c>
      <c r="G112" s="7" t="s">
        <v>545</v>
      </c>
      <c r="H112" s="6" t="s">
        <v>44</v>
      </c>
    </row>
    <row r="113" customFormat="false" ht="25.5" hidden="false" customHeight="true" outlineLevel="0" collapsed="false">
      <c r="A113" s="6" t="s">
        <v>599</v>
      </c>
      <c r="B113" s="7" t="s">
        <v>600</v>
      </c>
      <c r="C113" s="6" t="s">
        <v>39</v>
      </c>
      <c r="D113" s="7" t="s">
        <v>601</v>
      </c>
      <c r="E113" s="7" t="s">
        <v>602</v>
      </c>
      <c r="F113" s="7" t="s">
        <v>262</v>
      </c>
      <c r="G113" s="7" t="s">
        <v>545</v>
      </c>
      <c r="H113" s="6" t="s">
        <v>44</v>
      </c>
    </row>
    <row r="114" customFormat="false" ht="25.5" hidden="false" customHeight="true" outlineLevel="0" collapsed="false">
      <c r="A114" s="6" t="s">
        <v>603</v>
      </c>
      <c r="B114" s="7" t="s">
        <v>604</v>
      </c>
      <c r="C114" s="6" t="s">
        <v>39</v>
      </c>
      <c r="D114" s="7" t="s">
        <v>605</v>
      </c>
      <c r="E114" s="7" t="s">
        <v>606</v>
      </c>
      <c r="F114" s="7" t="s">
        <v>262</v>
      </c>
      <c r="G114" s="7" t="s">
        <v>545</v>
      </c>
      <c r="H114" s="6" t="s">
        <v>44</v>
      </c>
    </row>
    <row r="115" customFormat="false" ht="25.5" hidden="false" customHeight="true" outlineLevel="0" collapsed="false">
      <c r="A115" s="6" t="s">
        <v>607</v>
      </c>
      <c r="B115" s="7" t="s">
        <v>608</v>
      </c>
      <c r="C115" s="6" t="s">
        <v>39</v>
      </c>
      <c r="D115" s="7" t="s">
        <v>609</v>
      </c>
      <c r="E115" s="7" t="s">
        <v>610</v>
      </c>
      <c r="F115" s="7" t="s">
        <v>611</v>
      </c>
      <c r="G115" s="7" t="s">
        <v>545</v>
      </c>
      <c r="H115" s="6" t="s">
        <v>44</v>
      </c>
    </row>
    <row r="116" customFormat="false" ht="25.5" hidden="false" customHeight="true" outlineLevel="0" collapsed="false">
      <c r="A116" s="6" t="s">
        <v>612</v>
      </c>
      <c r="B116" s="7" t="s">
        <v>613</v>
      </c>
      <c r="C116" s="6" t="s">
        <v>39</v>
      </c>
      <c r="D116" s="7" t="s">
        <v>614</v>
      </c>
      <c r="E116" s="7" t="s">
        <v>615</v>
      </c>
      <c r="F116" s="7" t="s">
        <v>616</v>
      </c>
      <c r="G116" s="7" t="s">
        <v>617</v>
      </c>
      <c r="H116" s="6" t="s">
        <v>44</v>
      </c>
    </row>
    <row r="117" customFormat="false" ht="25.5" hidden="false" customHeight="true" outlineLevel="0" collapsed="false">
      <c r="A117" s="6" t="s">
        <v>618</v>
      </c>
      <c r="B117" s="7" t="s">
        <v>619</v>
      </c>
      <c r="C117" s="6" t="s">
        <v>39</v>
      </c>
      <c r="D117" s="7" t="s">
        <v>620</v>
      </c>
      <c r="E117" s="7" t="s">
        <v>621</v>
      </c>
      <c r="F117" s="7" t="s">
        <v>622</v>
      </c>
      <c r="G117" s="7" t="s">
        <v>617</v>
      </c>
      <c r="H117" s="6" t="s">
        <v>44</v>
      </c>
    </row>
    <row r="118" customFormat="false" ht="39" hidden="false" customHeight="true" outlineLevel="0" collapsed="false">
      <c r="A118" s="6" t="s">
        <v>623</v>
      </c>
      <c r="B118" s="7" t="s">
        <v>624</v>
      </c>
      <c r="C118" s="6" t="s">
        <v>39</v>
      </c>
      <c r="D118" s="7" t="s">
        <v>625</v>
      </c>
      <c r="E118" s="7" t="s">
        <v>626</v>
      </c>
      <c r="F118" s="7" t="s">
        <v>627</v>
      </c>
      <c r="G118" s="7" t="s">
        <v>617</v>
      </c>
      <c r="H118" s="6" t="s">
        <v>44</v>
      </c>
    </row>
    <row r="119" customFormat="false" ht="25.5" hidden="false" customHeight="true" outlineLevel="0" collapsed="false">
      <c r="A119" s="6" t="s">
        <v>628</v>
      </c>
      <c r="B119" s="7" t="s">
        <v>629</v>
      </c>
      <c r="C119" s="6" t="s">
        <v>77</v>
      </c>
      <c r="D119" s="7" t="s">
        <v>630</v>
      </c>
      <c r="E119" s="7" t="s">
        <v>631</v>
      </c>
      <c r="F119" s="7" t="s">
        <v>632</v>
      </c>
      <c r="G119" s="7" t="s">
        <v>617</v>
      </c>
      <c r="H119" s="6" t="s">
        <v>44</v>
      </c>
    </row>
    <row r="120" customFormat="false" ht="51.75" hidden="false" customHeight="true" outlineLevel="0" collapsed="false">
      <c r="A120" s="6" t="s">
        <v>633</v>
      </c>
      <c r="B120" s="7" t="s">
        <v>634</v>
      </c>
      <c r="C120" s="6" t="s">
        <v>77</v>
      </c>
      <c r="D120" s="7" t="s">
        <v>635</v>
      </c>
      <c r="E120" s="7" t="s">
        <v>636</v>
      </c>
      <c r="F120" s="7" t="s">
        <v>637</v>
      </c>
      <c r="G120" s="7" t="s">
        <v>617</v>
      </c>
      <c r="H120" s="6" t="s">
        <v>44</v>
      </c>
    </row>
    <row r="121" customFormat="false" ht="25.5" hidden="false" customHeight="true" outlineLevel="0" collapsed="false">
      <c r="A121" s="6" t="s">
        <v>638</v>
      </c>
      <c r="B121" s="7" t="s">
        <v>639</v>
      </c>
      <c r="C121" s="6" t="s">
        <v>77</v>
      </c>
      <c r="D121" s="7" t="s">
        <v>640</v>
      </c>
      <c r="E121" s="7" t="s">
        <v>641</v>
      </c>
      <c r="F121" s="7" t="s">
        <v>642</v>
      </c>
      <c r="G121" s="7" t="s">
        <v>617</v>
      </c>
      <c r="H121" s="6" t="s">
        <v>44</v>
      </c>
    </row>
    <row r="122" customFormat="false" ht="25.5" hidden="false" customHeight="true" outlineLevel="0" collapsed="false">
      <c r="A122" s="6" t="s">
        <v>643</v>
      </c>
      <c r="B122" s="7" t="s">
        <v>644</v>
      </c>
      <c r="C122" s="6" t="s">
        <v>77</v>
      </c>
      <c r="D122" s="7" t="s">
        <v>645</v>
      </c>
      <c r="E122" s="7" t="s">
        <v>646</v>
      </c>
      <c r="F122" s="7" t="s">
        <v>647</v>
      </c>
      <c r="G122" s="7" t="s">
        <v>617</v>
      </c>
      <c r="H122" s="6" t="s">
        <v>44</v>
      </c>
    </row>
    <row r="123" customFormat="false" ht="25.5" hidden="false" customHeight="true" outlineLevel="0" collapsed="false">
      <c r="A123" s="6" t="s">
        <v>648</v>
      </c>
      <c r="B123" s="7" t="s">
        <v>649</v>
      </c>
      <c r="C123" s="6" t="s">
        <v>39</v>
      </c>
      <c r="D123" s="7" t="s">
        <v>650</v>
      </c>
      <c r="E123" s="7" t="s">
        <v>651</v>
      </c>
      <c r="F123" s="7" t="s">
        <v>652</v>
      </c>
      <c r="G123" s="7" t="s">
        <v>617</v>
      </c>
      <c r="H123" s="6" t="s">
        <v>44</v>
      </c>
    </row>
    <row r="124" customFormat="false" ht="25.5" hidden="false" customHeight="true" outlineLevel="0" collapsed="false">
      <c r="A124" s="6" t="s">
        <v>653</v>
      </c>
      <c r="B124" s="7" t="s">
        <v>654</v>
      </c>
      <c r="C124" s="6" t="s">
        <v>77</v>
      </c>
      <c r="D124" s="7" t="s">
        <v>655</v>
      </c>
      <c r="E124" s="7" t="s">
        <v>656</v>
      </c>
      <c r="F124" s="7" t="s">
        <v>657</v>
      </c>
      <c r="G124" s="7" t="s">
        <v>617</v>
      </c>
      <c r="H124" s="6" t="s">
        <v>44</v>
      </c>
    </row>
    <row r="125" customFormat="false" ht="25.5" hidden="false" customHeight="true" outlineLevel="0" collapsed="false">
      <c r="A125" s="6" t="s">
        <v>658</v>
      </c>
      <c r="B125" s="7" t="s">
        <v>659</v>
      </c>
      <c r="C125" s="6" t="s">
        <v>39</v>
      </c>
      <c r="D125" s="7" t="s">
        <v>660</v>
      </c>
      <c r="E125" s="7" t="s">
        <v>661</v>
      </c>
      <c r="F125" s="7" t="s">
        <v>662</v>
      </c>
      <c r="G125" s="7" t="s">
        <v>663</v>
      </c>
      <c r="H125" s="6" t="s">
        <v>44</v>
      </c>
    </row>
    <row r="126" customFormat="false" ht="39" hidden="false" customHeight="true" outlineLevel="0" collapsed="false">
      <c r="A126" s="6" t="s">
        <v>664</v>
      </c>
      <c r="B126" s="7" t="s">
        <v>665</v>
      </c>
      <c r="C126" s="6" t="s">
        <v>39</v>
      </c>
      <c r="D126" s="7" t="s">
        <v>666</v>
      </c>
      <c r="E126" s="7" t="s">
        <v>667</v>
      </c>
      <c r="F126" s="7" t="s">
        <v>668</v>
      </c>
      <c r="G126" s="7" t="s">
        <v>663</v>
      </c>
      <c r="H126" s="6" t="s">
        <v>44</v>
      </c>
    </row>
    <row r="127" customFormat="false" ht="25.5" hidden="false" customHeight="true" outlineLevel="0" collapsed="false">
      <c r="A127" s="6" t="s">
        <v>669</v>
      </c>
      <c r="B127" s="7" t="s">
        <v>670</v>
      </c>
      <c r="C127" s="6" t="s">
        <v>39</v>
      </c>
      <c r="D127" s="7" t="s">
        <v>671</v>
      </c>
      <c r="E127" s="7" t="s">
        <v>672</v>
      </c>
      <c r="F127" s="7" t="s">
        <v>673</v>
      </c>
      <c r="G127" s="7" t="s">
        <v>663</v>
      </c>
      <c r="H127" s="6" t="s">
        <v>44</v>
      </c>
    </row>
    <row r="128" customFormat="false" ht="25.5" hidden="false" customHeight="true" outlineLevel="0" collapsed="false">
      <c r="A128" s="6" t="s">
        <v>674</v>
      </c>
      <c r="B128" s="7" t="s">
        <v>675</v>
      </c>
      <c r="C128" s="6" t="s">
        <v>39</v>
      </c>
      <c r="D128" s="7" t="s">
        <v>676</v>
      </c>
      <c r="E128" s="7" t="s">
        <v>677</v>
      </c>
      <c r="F128" s="7" t="s">
        <v>678</v>
      </c>
      <c r="G128" s="7" t="s">
        <v>663</v>
      </c>
      <c r="H128" s="6" t="s">
        <v>44</v>
      </c>
    </row>
    <row r="129" customFormat="false" ht="39" hidden="false" customHeight="true" outlineLevel="0" collapsed="false">
      <c r="A129" s="6" t="s">
        <v>679</v>
      </c>
      <c r="B129" s="7" t="s">
        <v>680</v>
      </c>
      <c r="C129" s="6" t="s">
        <v>39</v>
      </c>
      <c r="D129" s="7" t="s">
        <v>681</v>
      </c>
      <c r="E129" s="7" t="s">
        <v>682</v>
      </c>
      <c r="F129" s="7" t="s">
        <v>683</v>
      </c>
      <c r="G129" s="7" t="s">
        <v>663</v>
      </c>
      <c r="H129" s="6" t="s">
        <v>44</v>
      </c>
    </row>
    <row r="130" customFormat="false" ht="25.5" hidden="false" customHeight="true" outlineLevel="0" collapsed="false">
      <c r="A130" s="6" t="s">
        <v>684</v>
      </c>
      <c r="B130" s="7" t="s">
        <v>685</v>
      </c>
      <c r="C130" s="6" t="s">
        <v>39</v>
      </c>
      <c r="D130" s="7" t="s">
        <v>686</v>
      </c>
      <c r="E130" s="7" t="s">
        <v>687</v>
      </c>
      <c r="F130" s="7" t="s">
        <v>688</v>
      </c>
      <c r="G130" s="7" t="s">
        <v>663</v>
      </c>
      <c r="H130" s="6" t="s">
        <v>44</v>
      </c>
    </row>
    <row r="131" customFormat="false" ht="25.5" hidden="false" customHeight="true" outlineLevel="0" collapsed="false">
      <c r="A131" s="6" t="s">
        <v>689</v>
      </c>
      <c r="B131" s="7" t="s">
        <v>690</v>
      </c>
      <c r="C131" s="6" t="s">
        <v>77</v>
      </c>
      <c r="D131" s="7" t="s">
        <v>691</v>
      </c>
      <c r="E131" s="7" t="s">
        <v>692</v>
      </c>
      <c r="F131" s="7" t="s">
        <v>693</v>
      </c>
      <c r="G131" s="7" t="s">
        <v>663</v>
      </c>
      <c r="H131" s="6" t="s">
        <v>44</v>
      </c>
    </row>
    <row r="132" customFormat="false" ht="39" hidden="false" customHeight="true" outlineLevel="0" collapsed="false">
      <c r="A132" s="6" t="s">
        <v>694</v>
      </c>
      <c r="B132" s="7" t="s">
        <v>695</v>
      </c>
      <c r="C132" s="6" t="s">
        <v>77</v>
      </c>
      <c r="D132" s="7" t="s">
        <v>696</v>
      </c>
      <c r="E132" s="7" t="s">
        <v>697</v>
      </c>
      <c r="F132" s="7" t="s">
        <v>698</v>
      </c>
      <c r="G132" s="7" t="s">
        <v>663</v>
      </c>
      <c r="H132" s="6" t="s">
        <v>44</v>
      </c>
    </row>
    <row r="133" customFormat="false" ht="39" hidden="false" customHeight="true" outlineLevel="0" collapsed="false">
      <c r="A133" s="6" t="s">
        <v>699</v>
      </c>
      <c r="B133" s="7" t="s">
        <v>700</v>
      </c>
      <c r="C133" s="6" t="s">
        <v>39</v>
      </c>
      <c r="D133" s="7" t="s">
        <v>701</v>
      </c>
      <c r="E133" s="7" t="s">
        <v>702</v>
      </c>
      <c r="F133" s="7" t="s">
        <v>703</v>
      </c>
      <c r="G133" s="7" t="s">
        <v>663</v>
      </c>
      <c r="H133" s="6" t="s">
        <v>44</v>
      </c>
    </row>
    <row r="134" customFormat="false" ht="25.5" hidden="false" customHeight="true" outlineLevel="0" collapsed="false">
      <c r="A134" s="6" t="s">
        <v>704</v>
      </c>
      <c r="B134" s="7" t="s">
        <v>705</v>
      </c>
      <c r="C134" s="6" t="s">
        <v>39</v>
      </c>
      <c r="D134" s="7" t="s">
        <v>706</v>
      </c>
      <c r="E134" s="7" t="s">
        <v>707</v>
      </c>
      <c r="F134" s="7" t="s">
        <v>708</v>
      </c>
      <c r="G134" s="7" t="s">
        <v>663</v>
      </c>
      <c r="H134" s="6" t="s">
        <v>44</v>
      </c>
    </row>
    <row r="135" customFormat="false" ht="25.5" hidden="false" customHeight="true" outlineLevel="0" collapsed="false">
      <c r="A135" s="6" t="s">
        <v>709</v>
      </c>
      <c r="B135" s="7" t="s">
        <v>710</v>
      </c>
      <c r="C135" s="6" t="s">
        <v>148</v>
      </c>
      <c r="D135" s="7" t="s">
        <v>711</v>
      </c>
      <c r="E135" s="7" t="s">
        <v>712</v>
      </c>
      <c r="F135" s="7" t="s">
        <v>713</v>
      </c>
      <c r="G135" s="7" t="s">
        <v>663</v>
      </c>
      <c r="H135" s="6" t="s">
        <v>44</v>
      </c>
    </row>
    <row r="136" customFormat="false" ht="25.5" hidden="false" customHeight="true" outlineLevel="0" collapsed="false">
      <c r="A136" s="6" t="s">
        <v>714</v>
      </c>
      <c r="B136" s="7" t="s">
        <v>715</v>
      </c>
      <c r="C136" s="6" t="s">
        <v>148</v>
      </c>
      <c r="D136" s="7" t="s">
        <v>716</v>
      </c>
      <c r="E136" s="7" t="s">
        <v>717</v>
      </c>
      <c r="F136" s="7" t="s">
        <v>718</v>
      </c>
      <c r="G136" s="7" t="s">
        <v>663</v>
      </c>
      <c r="H136" s="6" t="s">
        <v>44</v>
      </c>
    </row>
    <row r="137" customFormat="false" ht="25.5" hidden="false" customHeight="true" outlineLevel="0" collapsed="false">
      <c r="A137" s="6" t="s">
        <v>719</v>
      </c>
      <c r="B137" s="7" t="s">
        <v>720</v>
      </c>
      <c r="C137" s="6" t="s">
        <v>148</v>
      </c>
      <c r="D137" s="7" t="s">
        <v>721</v>
      </c>
      <c r="E137" s="7" t="s">
        <v>722</v>
      </c>
      <c r="F137" s="7" t="s">
        <v>723</v>
      </c>
      <c r="G137" s="7" t="s">
        <v>663</v>
      </c>
      <c r="H137" s="6" t="s">
        <v>44</v>
      </c>
    </row>
    <row r="138" customFormat="false" ht="25.5" hidden="false" customHeight="true" outlineLevel="0" collapsed="false">
      <c r="A138" s="6" t="s">
        <v>724</v>
      </c>
      <c r="B138" s="7" t="s">
        <v>725</v>
      </c>
      <c r="C138" s="6" t="s">
        <v>39</v>
      </c>
      <c r="D138" s="7" t="s">
        <v>726</v>
      </c>
      <c r="E138" s="7" t="s">
        <v>727</v>
      </c>
      <c r="F138" s="7" t="s">
        <v>728</v>
      </c>
      <c r="G138" s="7" t="s">
        <v>663</v>
      </c>
      <c r="H138" s="6" t="s">
        <v>44</v>
      </c>
    </row>
    <row r="139" customFormat="false" ht="25.5" hidden="false" customHeight="true" outlineLevel="0" collapsed="false">
      <c r="A139" s="6" t="s">
        <v>729</v>
      </c>
      <c r="B139" s="7" t="s">
        <v>730</v>
      </c>
      <c r="C139" s="6" t="s">
        <v>39</v>
      </c>
      <c r="D139" s="7" t="s">
        <v>731</v>
      </c>
      <c r="E139" s="7" t="s">
        <v>732</v>
      </c>
      <c r="F139" s="7" t="s">
        <v>733</v>
      </c>
      <c r="G139" s="7" t="s">
        <v>663</v>
      </c>
      <c r="H139" s="6" t="s">
        <v>44</v>
      </c>
    </row>
    <row r="140" customFormat="false" ht="25.5" hidden="false" customHeight="true" outlineLevel="0" collapsed="false">
      <c r="A140" s="6" t="s">
        <v>734</v>
      </c>
      <c r="B140" s="7" t="s">
        <v>735</v>
      </c>
      <c r="C140" s="6" t="s">
        <v>77</v>
      </c>
      <c r="D140" s="7" t="s">
        <v>736</v>
      </c>
      <c r="E140" s="7" t="s">
        <v>737</v>
      </c>
      <c r="F140" s="7" t="s">
        <v>738</v>
      </c>
      <c r="G140" s="7" t="s">
        <v>663</v>
      </c>
      <c r="H140" s="6" t="s">
        <v>44</v>
      </c>
    </row>
    <row r="141" customFormat="false" ht="39" hidden="false" customHeight="true" outlineLevel="0" collapsed="false">
      <c r="A141" s="6" t="s">
        <v>739</v>
      </c>
      <c r="B141" s="7" t="s">
        <v>740</v>
      </c>
      <c r="C141" s="6" t="s">
        <v>77</v>
      </c>
      <c r="D141" s="7" t="s">
        <v>741</v>
      </c>
      <c r="E141" s="7" t="s">
        <v>742</v>
      </c>
      <c r="F141" s="7" t="s">
        <v>743</v>
      </c>
      <c r="G141" s="7" t="s">
        <v>744</v>
      </c>
      <c r="H141" s="6" t="s">
        <v>44</v>
      </c>
    </row>
    <row r="142" customFormat="false" ht="25.5" hidden="false" customHeight="true" outlineLevel="0" collapsed="false">
      <c r="A142" s="6" t="s">
        <v>745</v>
      </c>
      <c r="B142" s="7" t="s">
        <v>746</v>
      </c>
      <c r="C142" s="6" t="s">
        <v>77</v>
      </c>
      <c r="D142" s="7" t="s">
        <v>747</v>
      </c>
      <c r="E142" s="7" t="s">
        <v>748</v>
      </c>
      <c r="F142" s="7" t="s">
        <v>749</v>
      </c>
      <c r="G142" s="7" t="s">
        <v>744</v>
      </c>
      <c r="H142" s="6" t="s">
        <v>44</v>
      </c>
    </row>
    <row r="143" customFormat="false" ht="39" hidden="false" customHeight="true" outlineLevel="0" collapsed="false">
      <c r="A143" s="6" t="s">
        <v>750</v>
      </c>
      <c r="B143" s="7" t="s">
        <v>751</v>
      </c>
      <c r="C143" s="6" t="s">
        <v>39</v>
      </c>
      <c r="D143" s="7" t="s">
        <v>752</v>
      </c>
      <c r="E143" s="7" t="s">
        <v>753</v>
      </c>
      <c r="F143" s="7" t="s">
        <v>754</v>
      </c>
      <c r="G143" s="7" t="s">
        <v>755</v>
      </c>
      <c r="H143" s="6" t="s">
        <v>44</v>
      </c>
    </row>
    <row r="144" customFormat="false" ht="51.75" hidden="false" customHeight="true" outlineLevel="0" collapsed="false">
      <c r="A144" s="6" t="s">
        <v>756</v>
      </c>
      <c r="B144" s="7" t="s">
        <v>757</v>
      </c>
      <c r="C144" s="6" t="s">
        <v>148</v>
      </c>
      <c r="D144" s="7" t="s">
        <v>758</v>
      </c>
      <c r="E144" s="7" t="s">
        <v>759</v>
      </c>
      <c r="F144" s="7" t="s">
        <v>760</v>
      </c>
      <c r="G144" s="7" t="s">
        <v>755</v>
      </c>
      <c r="H144" s="6" t="s">
        <v>44</v>
      </c>
    </row>
    <row r="145" customFormat="false" ht="25.5" hidden="false" customHeight="true" outlineLevel="0" collapsed="false">
      <c r="A145" s="6" t="s">
        <v>761</v>
      </c>
      <c r="B145" s="7" t="s">
        <v>762</v>
      </c>
      <c r="C145" s="6" t="s">
        <v>148</v>
      </c>
      <c r="D145" s="7" t="s">
        <v>763</v>
      </c>
      <c r="E145" s="7" t="s">
        <v>764</v>
      </c>
      <c r="F145" s="7" t="s">
        <v>765</v>
      </c>
      <c r="G145" s="7" t="s">
        <v>755</v>
      </c>
      <c r="H145" s="6" t="s">
        <v>44</v>
      </c>
    </row>
    <row r="146" customFormat="false" ht="25.5" hidden="false" customHeight="true" outlineLevel="0" collapsed="false">
      <c r="A146" s="6" t="s">
        <v>766</v>
      </c>
      <c r="B146" s="7" t="s">
        <v>767</v>
      </c>
      <c r="C146" s="6" t="s">
        <v>148</v>
      </c>
      <c r="D146" s="7" t="s">
        <v>768</v>
      </c>
      <c r="E146" s="7" t="s">
        <v>769</v>
      </c>
      <c r="F146" s="7" t="s">
        <v>770</v>
      </c>
      <c r="G146" s="7" t="s">
        <v>755</v>
      </c>
      <c r="H146" s="6" t="s">
        <v>44</v>
      </c>
    </row>
    <row r="147" customFormat="false" ht="25.5" hidden="false" customHeight="true" outlineLevel="0" collapsed="false">
      <c r="A147" s="6" t="s">
        <v>771</v>
      </c>
      <c r="B147" s="7" t="s">
        <v>772</v>
      </c>
      <c r="C147" s="6" t="s">
        <v>148</v>
      </c>
      <c r="D147" s="7" t="s">
        <v>773</v>
      </c>
      <c r="E147" s="7" t="s">
        <v>774</v>
      </c>
      <c r="F147" s="7" t="s">
        <v>775</v>
      </c>
      <c r="G147" s="7" t="s">
        <v>755</v>
      </c>
      <c r="H147" s="6" t="s">
        <v>44</v>
      </c>
    </row>
    <row r="148" customFormat="false" ht="25.5" hidden="false" customHeight="true" outlineLevel="0" collapsed="false">
      <c r="A148" s="6" t="s">
        <v>776</v>
      </c>
      <c r="B148" s="7" t="s">
        <v>777</v>
      </c>
      <c r="C148" s="6" t="s">
        <v>39</v>
      </c>
      <c r="D148" s="7" t="s">
        <v>778</v>
      </c>
      <c r="E148" s="7" t="s">
        <v>779</v>
      </c>
      <c r="F148" s="7" t="s">
        <v>780</v>
      </c>
      <c r="G148" s="7" t="s">
        <v>781</v>
      </c>
      <c r="H148" s="6" t="s">
        <v>44</v>
      </c>
    </row>
    <row r="149" customFormat="false" ht="25.5" hidden="false" customHeight="true" outlineLevel="0" collapsed="false">
      <c r="A149" s="6" t="s">
        <v>782</v>
      </c>
      <c r="B149" s="7" t="s">
        <v>783</v>
      </c>
      <c r="C149" s="6" t="s">
        <v>39</v>
      </c>
      <c r="D149" s="7" t="s">
        <v>784</v>
      </c>
      <c r="E149" s="7" t="s">
        <v>785</v>
      </c>
      <c r="F149" s="7" t="s">
        <v>786</v>
      </c>
      <c r="G149" s="7" t="s">
        <v>781</v>
      </c>
      <c r="H149" s="6" t="s">
        <v>44</v>
      </c>
    </row>
    <row r="150" customFormat="false" ht="25.5" hidden="false" customHeight="true" outlineLevel="0" collapsed="false">
      <c r="A150" s="6" t="s">
        <v>787</v>
      </c>
      <c r="B150" s="7" t="s">
        <v>788</v>
      </c>
      <c r="C150" s="6" t="s">
        <v>39</v>
      </c>
      <c r="D150" s="7" t="s">
        <v>789</v>
      </c>
      <c r="E150" s="7" t="s">
        <v>790</v>
      </c>
      <c r="F150" s="7" t="s">
        <v>791</v>
      </c>
      <c r="G150" s="7" t="s">
        <v>781</v>
      </c>
      <c r="H150" s="6" t="s">
        <v>44</v>
      </c>
    </row>
    <row r="151" customFormat="false" ht="25.5" hidden="false" customHeight="true" outlineLevel="0" collapsed="false">
      <c r="A151" s="6" t="s">
        <v>792</v>
      </c>
      <c r="B151" s="7" t="s">
        <v>793</v>
      </c>
      <c r="C151" s="6" t="s">
        <v>39</v>
      </c>
      <c r="D151" s="7" t="s">
        <v>794</v>
      </c>
      <c r="E151" s="7" t="s">
        <v>795</v>
      </c>
      <c r="F151" s="7" t="s">
        <v>796</v>
      </c>
      <c r="G151" s="7" t="s">
        <v>781</v>
      </c>
      <c r="H151" s="6" t="s">
        <v>44</v>
      </c>
    </row>
    <row r="152" customFormat="false" ht="25.5" hidden="false" customHeight="true" outlineLevel="0" collapsed="false">
      <c r="A152" s="6" t="s">
        <v>797</v>
      </c>
      <c r="B152" s="7" t="s">
        <v>798</v>
      </c>
      <c r="C152" s="6" t="s">
        <v>39</v>
      </c>
      <c r="D152" s="7" t="s">
        <v>799</v>
      </c>
      <c r="E152" s="7" t="s">
        <v>800</v>
      </c>
      <c r="F152" s="7" t="s">
        <v>801</v>
      </c>
      <c r="G152" s="7" t="s">
        <v>781</v>
      </c>
      <c r="H152" s="6" t="s">
        <v>44</v>
      </c>
    </row>
    <row r="153" customFormat="false" ht="25.5" hidden="false" customHeight="true" outlineLevel="0" collapsed="false">
      <c r="A153" s="6" t="s">
        <v>802</v>
      </c>
      <c r="B153" s="7" t="s">
        <v>803</v>
      </c>
      <c r="C153" s="6" t="s">
        <v>39</v>
      </c>
      <c r="D153" s="7" t="s">
        <v>804</v>
      </c>
      <c r="E153" s="7" t="s">
        <v>805</v>
      </c>
      <c r="F153" s="7" t="s">
        <v>806</v>
      </c>
      <c r="G153" s="7" t="s">
        <v>781</v>
      </c>
      <c r="H153" s="6" t="s">
        <v>44</v>
      </c>
    </row>
    <row r="154" customFormat="false" ht="25.5" hidden="false" customHeight="true" outlineLevel="0" collapsed="false">
      <c r="A154" s="6" t="s">
        <v>807</v>
      </c>
      <c r="B154" s="7" t="s">
        <v>808</v>
      </c>
      <c r="C154" s="6" t="s">
        <v>39</v>
      </c>
      <c r="D154" s="7" t="s">
        <v>809</v>
      </c>
      <c r="E154" s="7" t="s">
        <v>810</v>
      </c>
      <c r="F154" s="7" t="s">
        <v>811</v>
      </c>
      <c r="G154" s="7" t="s">
        <v>781</v>
      </c>
      <c r="H154" s="6" t="s">
        <v>44</v>
      </c>
    </row>
    <row r="155" customFormat="false" ht="52.5" hidden="false" customHeight="true" outlineLevel="0" collapsed="false">
      <c r="A155" s="6" t="s">
        <v>812</v>
      </c>
      <c r="B155" s="7" t="s">
        <v>813</v>
      </c>
      <c r="C155" s="6" t="s">
        <v>39</v>
      </c>
      <c r="D155" s="7" t="s">
        <v>814</v>
      </c>
      <c r="E155" s="7" t="s">
        <v>815</v>
      </c>
      <c r="F155" s="7" t="s">
        <v>816</v>
      </c>
      <c r="G155" s="7" t="s">
        <v>781</v>
      </c>
      <c r="H155" s="6" t="s">
        <v>44</v>
      </c>
    </row>
    <row r="156" customFormat="false" ht="39.75" hidden="false" customHeight="true" outlineLevel="0" collapsed="false">
      <c r="A156" s="6" t="s">
        <v>817</v>
      </c>
      <c r="B156" s="7" t="s">
        <v>818</v>
      </c>
      <c r="C156" s="6" t="s">
        <v>39</v>
      </c>
      <c r="D156" s="7" t="s">
        <v>819</v>
      </c>
      <c r="E156" s="7" t="s">
        <v>820</v>
      </c>
      <c r="F156" s="7" t="s">
        <v>821</v>
      </c>
      <c r="G156" s="7" t="s">
        <v>781</v>
      </c>
      <c r="H156" s="6" t="s">
        <v>44</v>
      </c>
    </row>
    <row r="157" customFormat="false" ht="39.75" hidden="false" customHeight="true" outlineLevel="0" collapsed="false">
      <c r="A157" s="6" t="s">
        <v>822</v>
      </c>
      <c r="B157" s="7" t="s">
        <v>823</v>
      </c>
      <c r="C157" s="6" t="s">
        <v>39</v>
      </c>
      <c r="D157" s="7" t="s">
        <v>824</v>
      </c>
      <c r="E157" s="7" t="s">
        <v>825</v>
      </c>
      <c r="F157" s="7" t="s">
        <v>826</v>
      </c>
      <c r="G157" s="7" t="s">
        <v>781</v>
      </c>
      <c r="H157" s="6" t="s">
        <v>44</v>
      </c>
    </row>
    <row r="158" customFormat="false" ht="78" hidden="false" customHeight="true" outlineLevel="0" collapsed="false">
      <c r="A158" s="6" t="s">
        <v>827</v>
      </c>
      <c r="B158" s="7" t="s">
        <v>828</v>
      </c>
      <c r="C158" s="6" t="s">
        <v>148</v>
      </c>
      <c r="D158" s="7" t="s">
        <v>829</v>
      </c>
      <c r="E158" s="7" t="s">
        <v>830</v>
      </c>
      <c r="F158" s="7" t="s">
        <v>831</v>
      </c>
      <c r="G158" s="7" t="s">
        <v>781</v>
      </c>
      <c r="H158" s="6" t="s">
        <v>44</v>
      </c>
    </row>
    <row r="159" customFormat="false" ht="25.5" hidden="false" customHeight="true" outlineLevel="0" collapsed="false">
      <c r="A159" s="6" t="s">
        <v>832</v>
      </c>
      <c r="B159" s="7" t="s">
        <v>833</v>
      </c>
      <c r="C159" s="6" t="s">
        <v>39</v>
      </c>
      <c r="D159" s="7" t="s">
        <v>834</v>
      </c>
      <c r="E159" s="7" t="s">
        <v>835</v>
      </c>
      <c r="F159" s="7" t="s">
        <v>836</v>
      </c>
      <c r="G159" s="7" t="s">
        <v>837</v>
      </c>
      <c r="H159" s="6" t="s">
        <v>44</v>
      </c>
    </row>
    <row r="160" customFormat="false" ht="25.5" hidden="false" customHeight="true" outlineLevel="0" collapsed="false">
      <c r="A160" s="6" t="s">
        <v>838</v>
      </c>
      <c r="B160" s="7" t="s">
        <v>839</v>
      </c>
      <c r="C160" s="6" t="s">
        <v>39</v>
      </c>
      <c r="D160" s="7" t="s">
        <v>840</v>
      </c>
      <c r="E160" s="7" t="s">
        <v>841</v>
      </c>
      <c r="F160" s="7" t="s">
        <v>842</v>
      </c>
      <c r="G160" s="7" t="s">
        <v>837</v>
      </c>
      <c r="H160" s="6" t="s">
        <v>44</v>
      </c>
    </row>
    <row r="161" customFormat="false" ht="39" hidden="false" customHeight="true" outlineLevel="0" collapsed="false">
      <c r="A161" s="6" t="s">
        <v>843</v>
      </c>
      <c r="B161" s="7" t="s">
        <v>844</v>
      </c>
      <c r="C161" s="6" t="s">
        <v>39</v>
      </c>
      <c r="D161" s="7" t="s">
        <v>845</v>
      </c>
      <c r="E161" s="7" t="s">
        <v>846</v>
      </c>
      <c r="F161" s="7" t="s">
        <v>847</v>
      </c>
      <c r="G161" s="7" t="s">
        <v>837</v>
      </c>
      <c r="H161" s="6" t="s">
        <v>44</v>
      </c>
    </row>
    <row r="162" customFormat="false" ht="25.5" hidden="false" customHeight="true" outlineLevel="0" collapsed="false">
      <c r="A162" s="6" t="s">
        <v>848</v>
      </c>
      <c r="B162" s="7" t="s">
        <v>849</v>
      </c>
      <c r="C162" s="6" t="s">
        <v>77</v>
      </c>
      <c r="D162" s="7" t="s">
        <v>850</v>
      </c>
      <c r="E162" s="7" t="s">
        <v>851</v>
      </c>
      <c r="F162" s="7" t="s">
        <v>852</v>
      </c>
      <c r="G162" s="7" t="s">
        <v>837</v>
      </c>
      <c r="H162" s="6" t="s">
        <v>44</v>
      </c>
    </row>
    <row r="163" customFormat="false" ht="25.5" hidden="false" customHeight="true" outlineLevel="0" collapsed="false">
      <c r="A163" s="6" t="s">
        <v>853</v>
      </c>
      <c r="B163" s="7" t="s">
        <v>854</v>
      </c>
      <c r="C163" s="6" t="s">
        <v>39</v>
      </c>
      <c r="D163" s="7" t="s">
        <v>855</v>
      </c>
      <c r="E163" s="7" t="s">
        <v>856</v>
      </c>
      <c r="F163" s="7" t="s">
        <v>857</v>
      </c>
      <c r="G163" s="7" t="s">
        <v>837</v>
      </c>
      <c r="H163" s="6" t="s">
        <v>44</v>
      </c>
    </row>
    <row r="164" customFormat="false" ht="39" hidden="false" customHeight="true" outlineLevel="0" collapsed="false">
      <c r="A164" s="6" t="s">
        <v>858</v>
      </c>
      <c r="B164" s="7" t="s">
        <v>859</v>
      </c>
      <c r="C164" s="6" t="s">
        <v>77</v>
      </c>
      <c r="D164" s="7" t="s">
        <v>860</v>
      </c>
      <c r="E164" s="7" t="s">
        <v>861</v>
      </c>
      <c r="F164" s="7" t="s">
        <v>862</v>
      </c>
      <c r="G164" s="7" t="s">
        <v>837</v>
      </c>
      <c r="H164" s="6" t="s">
        <v>44</v>
      </c>
    </row>
    <row r="165" customFormat="false" ht="25.5" hidden="false" customHeight="true" outlineLevel="0" collapsed="false">
      <c r="A165" s="6" t="s">
        <v>863</v>
      </c>
      <c r="B165" s="7" t="s">
        <v>864</v>
      </c>
      <c r="C165" s="6" t="s">
        <v>77</v>
      </c>
      <c r="D165" s="7" t="s">
        <v>865</v>
      </c>
      <c r="E165" s="7" t="s">
        <v>866</v>
      </c>
      <c r="F165" s="7" t="s">
        <v>867</v>
      </c>
      <c r="G165" s="7" t="s">
        <v>868</v>
      </c>
      <c r="H165" s="6" t="s">
        <v>44</v>
      </c>
    </row>
    <row r="166" customFormat="false" ht="25.5" hidden="false" customHeight="true" outlineLevel="0" collapsed="false">
      <c r="A166" s="6" t="s">
        <v>869</v>
      </c>
      <c r="B166" s="7" t="s">
        <v>870</v>
      </c>
      <c r="C166" s="6" t="s">
        <v>77</v>
      </c>
      <c r="D166" s="7" t="s">
        <v>865</v>
      </c>
      <c r="E166" s="7" t="s">
        <v>871</v>
      </c>
      <c r="F166" s="7" t="s">
        <v>872</v>
      </c>
      <c r="G166" s="7" t="s">
        <v>868</v>
      </c>
      <c r="H166" s="6" t="s">
        <v>44</v>
      </c>
    </row>
    <row r="167" customFormat="false" ht="25.5" hidden="false" customHeight="true" outlineLevel="0" collapsed="false">
      <c r="A167" s="6" t="s">
        <v>873</v>
      </c>
      <c r="B167" s="7" t="s">
        <v>874</v>
      </c>
      <c r="C167" s="6" t="s">
        <v>77</v>
      </c>
      <c r="D167" s="7" t="s">
        <v>875</v>
      </c>
      <c r="E167" s="7" t="s">
        <v>876</v>
      </c>
      <c r="F167" s="7" t="s">
        <v>877</v>
      </c>
      <c r="G167" s="7" t="s">
        <v>868</v>
      </c>
      <c r="H167" s="6" t="s">
        <v>44</v>
      </c>
    </row>
    <row r="168" customFormat="false" ht="25.5" hidden="false" customHeight="true" outlineLevel="0" collapsed="false">
      <c r="A168" s="6" t="s">
        <v>878</v>
      </c>
      <c r="B168" s="7" t="s">
        <v>879</v>
      </c>
      <c r="C168" s="6" t="s">
        <v>77</v>
      </c>
      <c r="D168" s="7" t="s">
        <v>880</v>
      </c>
      <c r="E168" s="7" t="s">
        <v>881</v>
      </c>
      <c r="F168" s="7" t="s">
        <v>882</v>
      </c>
      <c r="G168" s="7" t="s">
        <v>868</v>
      </c>
      <c r="H168" s="6" t="s">
        <v>44</v>
      </c>
    </row>
    <row r="169" customFormat="false" ht="25.5" hidden="false" customHeight="true" outlineLevel="0" collapsed="false">
      <c r="A169" s="6" t="s">
        <v>883</v>
      </c>
      <c r="B169" s="7" t="s">
        <v>884</v>
      </c>
      <c r="C169" s="6" t="s">
        <v>77</v>
      </c>
      <c r="D169" s="7" t="s">
        <v>885</v>
      </c>
      <c r="E169" s="7" t="s">
        <v>886</v>
      </c>
      <c r="F169" s="7" t="s">
        <v>887</v>
      </c>
      <c r="G169" s="7" t="s">
        <v>868</v>
      </c>
      <c r="H169" s="6" t="s">
        <v>44</v>
      </c>
    </row>
    <row r="170" customFormat="false" ht="25.5" hidden="false" customHeight="true" outlineLevel="0" collapsed="false">
      <c r="A170" s="6" t="s">
        <v>888</v>
      </c>
      <c r="B170" s="7" t="s">
        <v>889</v>
      </c>
      <c r="C170" s="6" t="s">
        <v>77</v>
      </c>
      <c r="D170" s="7" t="s">
        <v>890</v>
      </c>
      <c r="E170" s="7" t="s">
        <v>891</v>
      </c>
      <c r="F170" s="7" t="s">
        <v>892</v>
      </c>
      <c r="G170" s="7" t="s">
        <v>893</v>
      </c>
      <c r="H170" s="6" t="s">
        <v>44</v>
      </c>
    </row>
    <row r="171" customFormat="false" ht="25.5" hidden="false" customHeight="true" outlineLevel="0" collapsed="false">
      <c r="A171" s="6" t="s">
        <v>894</v>
      </c>
      <c r="B171" s="7" t="s">
        <v>895</v>
      </c>
      <c r="C171" s="6" t="s">
        <v>77</v>
      </c>
      <c r="D171" s="7" t="s">
        <v>896</v>
      </c>
      <c r="E171" s="7" t="s">
        <v>897</v>
      </c>
      <c r="F171" s="7" t="s">
        <v>898</v>
      </c>
      <c r="G171" s="7" t="s">
        <v>893</v>
      </c>
      <c r="H171" s="6" t="s">
        <v>44</v>
      </c>
    </row>
    <row r="172" customFormat="false" ht="25.5" hidden="false" customHeight="true" outlineLevel="0" collapsed="false">
      <c r="A172" s="6" t="s">
        <v>899</v>
      </c>
      <c r="B172" s="7" t="s">
        <v>900</v>
      </c>
      <c r="C172" s="6" t="s">
        <v>77</v>
      </c>
      <c r="D172" s="7" t="s">
        <v>901</v>
      </c>
      <c r="E172" s="7" t="s">
        <v>902</v>
      </c>
      <c r="F172" s="7" t="s">
        <v>903</v>
      </c>
      <c r="G172" s="7" t="s">
        <v>893</v>
      </c>
      <c r="H172" s="6" t="s">
        <v>44</v>
      </c>
    </row>
    <row r="173" customFormat="false" ht="25.5" hidden="false" customHeight="true" outlineLevel="0" collapsed="false">
      <c r="A173" s="6" t="s">
        <v>904</v>
      </c>
      <c r="B173" s="7" t="s">
        <v>905</v>
      </c>
      <c r="C173" s="6" t="s">
        <v>77</v>
      </c>
      <c r="D173" s="7" t="s">
        <v>906</v>
      </c>
      <c r="E173" s="7" t="s">
        <v>907</v>
      </c>
      <c r="F173" s="7" t="s">
        <v>908</v>
      </c>
      <c r="G173" s="7" t="s">
        <v>893</v>
      </c>
      <c r="H173" s="6" t="s">
        <v>44</v>
      </c>
    </row>
    <row r="174" customFormat="false" ht="25.5" hidden="false" customHeight="true" outlineLevel="0" collapsed="false">
      <c r="A174" s="6" t="s">
        <v>909</v>
      </c>
      <c r="B174" s="7" t="s">
        <v>910</v>
      </c>
      <c r="C174" s="6" t="s">
        <v>77</v>
      </c>
      <c r="D174" s="7" t="s">
        <v>911</v>
      </c>
      <c r="E174" s="7" t="s">
        <v>912</v>
      </c>
      <c r="F174" s="7" t="s">
        <v>913</v>
      </c>
      <c r="G174" s="7" t="s">
        <v>893</v>
      </c>
      <c r="H174" s="6" t="s">
        <v>44</v>
      </c>
    </row>
  </sheetData>
  <autoFilter ref="A1:H174"/>
  <conditionalFormatting sqref="H2:H670">
    <cfRule type="cellIs" priority="2" operator="equal" aboveAverage="0" equalAverage="0" bottom="0" percent="0" rank="0" text="" dxfId="3">
      <formula>"Passed"</formula>
    </cfRule>
    <cfRule type="cellIs" priority="3" operator="equal" aboveAverage="0" equalAverage="0" bottom="0" percent="0" rank="0" text="" dxfId="3">
      <formula>"Retest Passed"</formula>
    </cfRule>
    <cfRule type="cellIs" priority="4" operator="equal" aboveAverage="0" equalAverage="0" bottom="0" percent="0" rank="0" text="" dxfId="4">
      <formula>"Failed"</formula>
    </cfRule>
    <cfRule type="cellIs" priority="5" operator="equal" aboveAverage="0" equalAverage="0" bottom="0" percent="0" rank="0" text="" dxfId="4">
      <formula>"Retest Failed"</formula>
    </cfRule>
    <cfRule type="cellIs" priority="6" operator="equal" aboveAverage="0" equalAverage="0" bottom="0" percent="0" rank="0" text="" dxfId="5">
      <formula>"Blocked"</formula>
    </cfRule>
  </conditionalFormatting>
  <dataValidations count="1">
    <dataValidation allowBlank="false" error="Choose a status from the list." errorStyle="stop" errorTitle="Invalid status" operator="between" showDropDown="false" showErrorMessage="false" showInputMessage="false" sqref="H2:H670" type="list">
      <formula1>"Not run,Passed,Failed,Blocked,Retest Passed,Retest Failed"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3" min="2" style="1" width="12"/>
  </cols>
  <sheetData>
    <row r="1" customFormat="false" ht="15.75" hidden="false" customHeight="true" outlineLevel="0" collapsed="false">
      <c r="A1" s="8" t="s">
        <v>914</v>
      </c>
    </row>
    <row r="3" customFormat="false" ht="30" hidden="false" customHeight="true" outlineLevel="0" collapsed="false">
      <c r="A3" s="5" t="s">
        <v>35</v>
      </c>
      <c r="B3" s="5" t="s">
        <v>915</v>
      </c>
      <c r="C3" s="5" t="s">
        <v>77</v>
      </c>
      <c r="D3" s="5" t="s">
        <v>39</v>
      </c>
      <c r="E3" s="5" t="s">
        <v>148</v>
      </c>
      <c r="F3" s="5" t="s">
        <v>44</v>
      </c>
      <c r="G3" s="5" t="s">
        <v>916</v>
      </c>
      <c r="H3" s="5" t="s">
        <v>917</v>
      </c>
      <c r="I3" s="5" t="s">
        <v>918</v>
      </c>
      <c r="J3" s="5" t="s">
        <v>919</v>
      </c>
      <c r="K3" s="5" t="s">
        <v>920</v>
      </c>
      <c r="L3" s="5" t="s">
        <v>921</v>
      </c>
      <c r="M3" s="5" t="s">
        <v>922</v>
      </c>
    </row>
    <row r="4" customFormat="false" ht="15" hidden="false" customHeight="true" outlineLevel="0" collapsed="false">
      <c r="A4" s="9" t="s">
        <v>43</v>
      </c>
      <c r="B4" s="10" t="n">
        <f aca="false">COUNTIFS('Test Cases'!$G$2:$G$670,$A4)</f>
        <v>11</v>
      </c>
      <c r="C4" s="10" t="n">
        <f aca="false">COUNTIFS('Test Cases'!$G$2:$G$670,$A4,'Test Cases'!$C$2:$C$670,"UI")</f>
        <v>4</v>
      </c>
      <c r="D4" s="10" t="n">
        <f aca="false">COUNTIFS('Test Cases'!$G$2:$G$670,$A4,'Test Cases'!$C$2:$C$670,"API")</f>
        <v>7</v>
      </c>
      <c r="E4" s="10" t="n">
        <f aca="false">COUNTIFS('Test Cases'!$G$2:$G$670,$A4,'Test Cases'!$C$2:$C$670,"DB")</f>
        <v>0</v>
      </c>
      <c r="F4" s="10" t="n">
        <f aca="false">COUNTIFS('Test Cases'!$G$2:$G$670,$A4,'Test Cases'!$H$2:$H$670,"Not run")</f>
        <v>11</v>
      </c>
      <c r="G4" s="10" t="n">
        <f aca="false">COUNTIFS('Test Cases'!$G$2:$G$670,$A4,'Test Cases'!$H$2:$H$670,"Passed")</f>
        <v>0</v>
      </c>
      <c r="H4" s="10" t="n">
        <f aca="false">COUNTIFS('Test Cases'!$G$2:$G$670,$A4,'Test Cases'!$H$2:$H$670,"Failed")</f>
        <v>0</v>
      </c>
      <c r="I4" s="10" t="n">
        <f aca="false">COUNTIFS('Test Cases'!$G$2:$G$670,$A4,'Test Cases'!$H$2:$H$670,"Blocked")</f>
        <v>0</v>
      </c>
      <c r="J4" s="10" t="n">
        <f aca="false">COUNTIFS('Test Cases'!$G$2:$G$670,$A4,'Test Cases'!$H$2:$H$670,"Retest Passed")</f>
        <v>0</v>
      </c>
      <c r="K4" s="10" t="n">
        <f aca="false">COUNTIFS('Test Cases'!$G$2:$G$670,$A4,'Test Cases'!$H$2:$H$670,"Retest Failed")</f>
        <v>0</v>
      </c>
      <c r="L4" s="11" t="n">
        <f aca="false">IF(B4=0,0,(B4-F4)/B4)</f>
        <v>0</v>
      </c>
      <c r="M4" s="11" t="n">
        <f aca="false">IF((B4-F4)=0,0,(G4+J4)/(B4-F4))</f>
        <v>0</v>
      </c>
    </row>
    <row r="5" customFormat="false" ht="15" hidden="false" customHeight="true" outlineLevel="0" collapsed="false">
      <c r="A5" s="9" t="s">
        <v>101</v>
      </c>
      <c r="B5" s="10" t="n">
        <f aca="false">COUNTIFS('Test Cases'!$G$2:$G$670,$A5)</f>
        <v>12</v>
      </c>
      <c r="C5" s="10" t="n">
        <f aca="false">COUNTIFS('Test Cases'!$G$2:$G$670,$A5,'Test Cases'!$C$2:$C$670,"UI")</f>
        <v>2</v>
      </c>
      <c r="D5" s="10" t="n">
        <f aca="false">COUNTIFS('Test Cases'!$G$2:$G$670,$A5,'Test Cases'!$C$2:$C$670,"API")</f>
        <v>9</v>
      </c>
      <c r="E5" s="10" t="n">
        <f aca="false">COUNTIFS('Test Cases'!$G$2:$G$670,$A5,'Test Cases'!$C$2:$C$670,"DB")</f>
        <v>1</v>
      </c>
      <c r="F5" s="10" t="n">
        <f aca="false">COUNTIFS('Test Cases'!$G$2:$G$670,$A5,'Test Cases'!$H$2:$H$670,"Not run")</f>
        <v>12</v>
      </c>
      <c r="G5" s="10" t="n">
        <f aca="false">COUNTIFS('Test Cases'!$G$2:$G$670,$A5,'Test Cases'!$H$2:$H$670,"Passed")</f>
        <v>0</v>
      </c>
      <c r="H5" s="10" t="n">
        <f aca="false">COUNTIFS('Test Cases'!$G$2:$G$670,$A5,'Test Cases'!$H$2:$H$670,"Failed")</f>
        <v>0</v>
      </c>
      <c r="I5" s="10" t="n">
        <f aca="false">COUNTIFS('Test Cases'!$G$2:$G$670,$A5,'Test Cases'!$H$2:$H$670,"Blocked")</f>
        <v>0</v>
      </c>
      <c r="J5" s="10" t="n">
        <f aca="false">COUNTIFS('Test Cases'!$G$2:$G$670,$A5,'Test Cases'!$H$2:$H$670,"Retest Passed")</f>
        <v>0</v>
      </c>
      <c r="K5" s="10" t="n">
        <f aca="false">COUNTIFS('Test Cases'!$G$2:$G$670,$A5,'Test Cases'!$H$2:$H$670,"Retest Failed")</f>
        <v>0</v>
      </c>
      <c r="L5" s="11" t="n">
        <f aca="false">IF(B5=0,0,(B5-F5)/B5)</f>
        <v>0</v>
      </c>
      <c r="M5" s="11" t="n">
        <f aca="false">IF((B5-F5)=0,0,(G5+J5)/(B5-F5))</f>
        <v>0</v>
      </c>
    </row>
    <row r="6" customFormat="false" ht="15" hidden="false" customHeight="true" outlineLevel="0" collapsed="false">
      <c r="A6" s="9" t="s">
        <v>162</v>
      </c>
      <c r="B6" s="10" t="n">
        <f aca="false">COUNTIFS('Test Cases'!$G$2:$G$670,$A6)</f>
        <v>4</v>
      </c>
      <c r="C6" s="10" t="n">
        <f aca="false">COUNTIFS('Test Cases'!$G$2:$G$670,$A6,'Test Cases'!$C$2:$C$670,"UI")</f>
        <v>3</v>
      </c>
      <c r="D6" s="10" t="n">
        <f aca="false">COUNTIFS('Test Cases'!$G$2:$G$670,$A6,'Test Cases'!$C$2:$C$670,"API")</f>
        <v>1</v>
      </c>
      <c r="E6" s="10" t="n">
        <f aca="false">COUNTIFS('Test Cases'!$G$2:$G$670,$A6,'Test Cases'!$C$2:$C$670,"DB")</f>
        <v>0</v>
      </c>
      <c r="F6" s="10" t="n">
        <f aca="false">COUNTIFS('Test Cases'!$G$2:$G$670,$A6,'Test Cases'!$H$2:$H$670,"Not run")</f>
        <v>4</v>
      </c>
      <c r="G6" s="10" t="n">
        <f aca="false">COUNTIFS('Test Cases'!$G$2:$G$670,$A6,'Test Cases'!$H$2:$H$670,"Passed")</f>
        <v>0</v>
      </c>
      <c r="H6" s="10" t="n">
        <f aca="false">COUNTIFS('Test Cases'!$G$2:$G$670,$A6,'Test Cases'!$H$2:$H$670,"Failed")</f>
        <v>0</v>
      </c>
      <c r="I6" s="10" t="n">
        <f aca="false">COUNTIFS('Test Cases'!$G$2:$G$670,$A6,'Test Cases'!$H$2:$H$670,"Blocked")</f>
        <v>0</v>
      </c>
      <c r="J6" s="10" t="n">
        <f aca="false">COUNTIFS('Test Cases'!$G$2:$G$670,$A6,'Test Cases'!$H$2:$H$670,"Retest Passed")</f>
        <v>0</v>
      </c>
      <c r="K6" s="10" t="n">
        <f aca="false">COUNTIFS('Test Cases'!$G$2:$G$670,$A6,'Test Cases'!$H$2:$H$670,"Retest Failed")</f>
        <v>0</v>
      </c>
      <c r="L6" s="11" t="n">
        <f aca="false">IF(B6=0,0,(B6-F6)/B6)</f>
        <v>0</v>
      </c>
      <c r="M6" s="11" t="n">
        <f aca="false">IF((B6-F6)=0,0,(G6+J6)/(B6-F6))</f>
        <v>0</v>
      </c>
    </row>
    <row r="7" customFormat="false" ht="15" hidden="false" customHeight="true" outlineLevel="0" collapsed="false">
      <c r="A7" s="9" t="s">
        <v>183</v>
      </c>
      <c r="B7" s="10" t="n">
        <f aca="false">COUNTIFS('Test Cases'!$G$2:$G$670,$A7)</f>
        <v>10</v>
      </c>
      <c r="C7" s="10" t="n">
        <f aca="false">COUNTIFS('Test Cases'!$G$2:$G$670,$A7,'Test Cases'!$C$2:$C$670,"UI")</f>
        <v>2</v>
      </c>
      <c r="D7" s="10" t="n">
        <f aca="false">COUNTIFS('Test Cases'!$G$2:$G$670,$A7,'Test Cases'!$C$2:$C$670,"API")</f>
        <v>8</v>
      </c>
      <c r="E7" s="10" t="n">
        <f aca="false">COUNTIFS('Test Cases'!$G$2:$G$670,$A7,'Test Cases'!$C$2:$C$670,"DB")</f>
        <v>0</v>
      </c>
      <c r="F7" s="10" t="n">
        <f aca="false">COUNTIFS('Test Cases'!$G$2:$G$670,$A7,'Test Cases'!$H$2:$H$670,"Not run")</f>
        <v>10</v>
      </c>
      <c r="G7" s="10" t="n">
        <f aca="false">COUNTIFS('Test Cases'!$G$2:$G$670,$A7,'Test Cases'!$H$2:$H$670,"Passed")</f>
        <v>0</v>
      </c>
      <c r="H7" s="10" t="n">
        <f aca="false">COUNTIFS('Test Cases'!$G$2:$G$670,$A7,'Test Cases'!$H$2:$H$670,"Failed")</f>
        <v>0</v>
      </c>
      <c r="I7" s="10" t="n">
        <f aca="false">COUNTIFS('Test Cases'!$G$2:$G$670,$A7,'Test Cases'!$H$2:$H$670,"Blocked")</f>
        <v>0</v>
      </c>
      <c r="J7" s="10" t="n">
        <f aca="false">COUNTIFS('Test Cases'!$G$2:$G$670,$A7,'Test Cases'!$H$2:$H$670,"Retest Passed")</f>
        <v>0</v>
      </c>
      <c r="K7" s="10" t="n">
        <f aca="false">COUNTIFS('Test Cases'!$G$2:$G$670,$A7,'Test Cases'!$H$2:$H$670,"Retest Failed")</f>
        <v>0</v>
      </c>
      <c r="L7" s="11" t="n">
        <f aca="false">IF(B7=0,0,(B7-F7)/B7)</f>
        <v>0</v>
      </c>
      <c r="M7" s="11" t="n">
        <f aca="false">IF((B7-F7)=0,0,(G7+J7)/(B7-F7))</f>
        <v>0</v>
      </c>
    </row>
    <row r="8" customFormat="false" ht="15" hidden="false" customHeight="true" outlineLevel="0" collapsed="false">
      <c r="A8" s="9" t="s">
        <v>233</v>
      </c>
      <c r="B8" s="10" t="n">
        <f aca="false">COUNTIFS('Test Cases'!$G$2:$G$670,$A8)</f>
        <v>11</v>
      </c>
      <c r="C8" s="10" t="n">
        <f aca="false">COUNTIFS('Test Cases'!$G$2:$G$670,$A8,'Test Cases'!$C$2:$C$670,"UI")</f>
        <v>3</v>
      </c>
      <c r="D8" s="10" t="n">
        <f aca="false">COUNTIFS('Test Cases'!$G$2:$G$670,$A8,'Test Cases'!$C$2:$C$670,"API")</f>
        <v>8</v>
      </c>
      <c r="E8" s="10" t="n">
        <f aca="false">COUNTIFS('Test Cases'!$G$2:$G$670,$A8,'Test Cases'!$C$2:$C$670,"DB")</f>
        <v>0</v>
      </c>
      <c r="F8" s="10" t="n">
        <f aca="false">COUNTIFS('Test Cases'!$G$2:$G$670,$A8,'Test Cases'!$H$2:$H$670,"Not run")</f>
        <v>11</v>
      </c>
      <c r="G8" s="10" t="n">
        <f aca="false">COUNTIFS('Test Cases'!$G$2:$G$670,$A8,'Test Cases'!$H$2:$H$670,"Passed")</f>
        <v>0</v>
      </c>
      <c r="H8" s="10" t="n">
        <f aca="false">COUNTIFS('Test Cases'!$G$2:$G$670,$A8,'Test Cases'!$H$2:$H$670,"Failed")</f>
        <v>0</v>
      </c>
      <c r="I8" s="10" t="n">
        <f aca="false">COUNTIFS('Test Cases'!$G$2:$G$670,$A8,'Test Cases'!$H$2:$H$670,"Blocked")</f>
        <v>0</v>
      </c>
      <c r="J8" s="10" t="n">
        <f aca="false">COUNTIFS('Test Cases'!$G$2:$G$670,$A8,'Test Cases'!$H$2:$H$670,"Retest Passed")</f>
        <v>0</v>
      </c>
      <c r="K8" s="10" t="n">
        <f aca="false">COUNTIFS('Test Cases'!$G$2:$G$670,$A8,'Test Cases'!$H$2:$H$670,"Retest Failed")</f>
        <v>0</v>
      </c>
      <c r="L8" s="11" t="n">
        <f aca="false">IF(B8=0,0,(B8-F8)/B8)</f>
        <v>0</v>
      </c>
      <c r="M8" s="11" t="n">
        <f aca="false">IF((B8-F8)=0,0,(G8+J8)/(B8-F8))</f>
        <v>0</v>
      </c>
    </row>
    <row r="9" customFormat="false" ht="15" hidden="false" customHeight="true" outlineLevel="0" collapsed="false">
      <c r="A9" s="9" t="s">
        <v>288</v>
      </c>
      <c r="B9" s="10" t="n">
        <f aca="false">COUNTIFS('Test Cases'!$G$2:$G$670,$A9)</f>
        <v>10</v>
      </c>
      <c r="C9" s="10" t="n">
        <f aca="false">COUNTIFS('Test Cases'!$G$2:$G$670,$A9,'Test Cases'!$C$2:$C$670,"UI")</f>
        <v>5</v>
      </c>
      <c r="D9" s="10" t="n">
        <f aca="false">COUNTIFS('Test Cases'!$G$2:$G$670,$A9,'Test Cases'!$C$2:$C$670,"API")</f>
        <v>4</v>
      </c>
      <c r="E9" s="10" t="n">
        <f aca="false">COUNTIFS('Test Cases'!$G$2:$G$670,$A9,'Test Cases'!$C$2:$C$670,"DB")</f>
        <v>1</v>
      </c>
      <c r="F9" s="10" t="n">
        <f aca="false">COUNTIFS('Test Cases'!$G$2:$G$670,$A9,'Test Cases'!$H$2:$H$670,"Not run")</f>
        <v>10</v>
      </c>
      <c r="G9" s="10" t="n">
        <f aca="false">COUNTIFS('Test Cases'!$G$2:$G$670,$A9,'Test Cases'!$H$2:$H$670,"Passed")</f>
        <v>0</v>
      </c>
      <c r="H9" s="10" t="n">
        <f aca="false">COUNTIFS('Test Cases'!$G$2:$G$670,$A9,'Test Cases'!$H$2:$H$670,"Failed")</f>
        <v>0</v>
      </c>
      <c r="I9" s="10" t="n">
        <f aca="false">COUNTIFS('Test Cases'!$G$2:$G$670,$A9,'Test Cases'!$H$2:$H$670,"Blocked")</f>
        <v>0</v>
      </c>
      <c r="J9" s="10" t="n">
        <f aca="false">COUNTIFS('Test Cases'!$G$2:$G$670,$A9,'Test Cases'!$H$2:$H$670,"Retest Passed")</f>
        <v>0</v>
      </c>
      <c r="K9" s="10" t="n">
        <f aca="false">COUNTIFS('Test Cases'!$G$2:$G$670,$A9,'Test Cases'!$H$2:$H$670,"Retest Failed")</f>
        <v>0</v>
      </c>
      <c r="L9" s="11" t="n">
        <f aca="false">IF(B9=0,0,(B9-F9)/B9)</f>
        <v>0</v>
      </c>
      <c r="M9" s="11" t="n">
        <f aca="false">IF((B9-F9)=0,0,(G9+J9)/(B9-F9))</f>
        <v>0</v>
      </c>
    </row>
    <row r="10" customFormat="false" ht="15" hidden="false" customHeight="true" outlineLevel="0" collapsed="false">
      <c r="A10" s="9" t="s">
        <v>339</v>
      </c>
      <c r="B10" s="10" t="n">
        <f aca="false">COUNTIFS('Test Cases'!$G$2:$G$670,$A10)</f>
        <v>9</v>
      </c>
      <c r="C10" s="10" t="n">
        <f aca="false">COUNTIFS('Test Cases'!$G$2:$G$670,$A10,'Test Cases'!$C$2:$C$670,"UI")</f>
        <v>3</v>
      </c>
      <c r="D10" s="10" t="n">
        <f aca="false">COUNTIFS('Test Cases'!$G$2:$G$670,$A10,'Test Cases'!$C$2:$C$670,"API")</f>
        <v>6</v>
      </c>
      <c r="E10" s="10" t="n">
        <f aca="false">COUNTIFS('Test Cases'!$G$2:$G$670,$A10,'Test Cases'!$C$2:$C$670,"DB")</f>
        <v>0</v>
      </c>
      <c r="F10" s="10" t="n">
        <f aca="false">COUNTIFS('Test Cases'!$G$2:$G$670,$A10,'Test Cases'!$H$2:$H$670,"Not run")</f>
        <v>9</v>
      </c>
      <c r="G10" s="10" t="n">
        <f aca="false">COUNTIFS('Test Cases'!$G$2:$G$670,$A10,'Test Cases'!$H$2:$H$670,"Passed")</f>
        <v>0</v>
      </c>
      <c r="H10" s="10" t="n">
        <f aca="false">COUNTIFS('Test Cases'!$G$2:$G$670,$A10,'Test Cases'!$H$2:$H$670,"Failed")</f>
        <v>0</v>
      </c>
      <c r="I10" s="10" t="n">
        <f aca="false">COUNTIFS('Test Cases'!$G$2:$G$670,$A10,'Test Cases'!$H$2:$H$670,"Blocked")</f>
        <v>0</v>
      </c>
      <c r="J10" s="10" t="n">
        <f aca="false">COUNTIFS('Test Cases'!$G$2:$G$670,$A10,'Test Cases'!$H$2:$H$670,"Retest Passed")</f>
        <v>0</v>
      </c>
      <c r="K10" s="10" t="n">
        <f aca="false">COUNTIFS('Test Cases'!$G$2:$G$670,$A10,'Test Cases'!$H$2:$H$670,"Retest Failed")</f>
        <v>0</v>
      </c>
      <c r="L10" s="11" t="n">
        <f aca="false">IF(B10=0,0,(B10-F10)/B10)</f>
        <v>0</v>
      </c>
      <c r="M10" s="11" t="n">
        <f aca="false">IF((B10-F10)=0,0,(G10+J10)/(B10-F10))</f>
        <v>0</v>
      </c>
    </row>
    <row r="11" customFormat="false" ht="15" hidden="false" customHeight="true" outlineLevel="0" collapsed="false">
      <c r="A11" s="9" t="s">
        <v>384</v>
      </c>
      <c r="B11" s="10" t="n">
        <f aca="false">COUNTIFS('Test Cases'!$G$2:$G$670,$A11)</f>
        <v>11</v>
      </c>
      <c r="C11" s="10" t="n">
        <f aca="false">COUNTIFS('Test Cases'!$G$2:$G$670,$A11,'Test Cases'!$C$2:$C$670,"UI")</f>
        <v>8</v>
      </c>
      <c r="D11" s="10" t="n">
        <f aca="false">COUNTIFS('Test Cases'!$G$2:$G$670,$A11,'Test Cases'!$C$2:$C$670,"API")</f>
        <v>3</v>
      </c>
      <c r="E11" s="10" t="n">
        <f aca="false">COUNTIFS('Test Cases'!$G$2:$G$670,$A11,'Test Cases'!$C$2:$C$670,"DB")</f>
        <v>0</v>
      </c>
      <c r="F11" s="10" t="n">
        <f aca="false">COUNTIFS('Test Cases'!$G$2:$G$670,$A11,'Test Cases'!$H$2:$H$670,"Not run")</f>
        <v>11</v>
      </c>
      <c r="G11" s="10" t="n">
        <f aca="false">COUNTIFS('Test Cases'!$G$2:$G$670,$A11,'Test Cases'!$H$2:$H$670,"Passed")</f>
        <v>0</v>
      </c>
      <c r="H11" s="10" t="n">
        <f aca="false">COUNTIFS('Test Cases'!$G$2:$G$670,$A11,'Test Cases'!$H$2:$H$670,"Failed")</f>
        <v>0</v>
      </c>
      <c r="I11" s="10" t="n">
        <f aca="false">COUNTIFS('Test Cases'!$G$2:$G$670,$A11,'Test Cases'!$H$2:$H$670,"Blocked")</f>
        <v>0</v>
      </c>
      <c r="J11" s="10" t="n">
        <f aca="false">COUNTIFS('Test Cases'!$G$2:$G$670,$A11,'Test Cases'!$H$2:$H$670,"Retest Passed")</f>
        <v>0</v>
      </c>
      <c r="K11" s="10" t="n">
        <f aca="false">COUNTIFS('Test Cases'!$G$2:$G$670,$A11,'Test Cases'!$H$2:$H$670,"Retest Failed")</f>
        <v>0</v>
      </c>
      <c r="L11" s="11" t="n">
        <f aca="false">IF(B11=0,0,(B11-F11)/B11)</f>
        <v>0</v>
      </c>
      <c r="M11" s="11" t="n">
        <f aca="false">IF((B11-F11)=0,0,(G11+J11)/(B11-F11))</f>
        <v>0</v>
      </c>
    </row>
    <row r="12" customFormat="false" ht="15" hidden="false" customHeight="true" outlineLevel="0" collapsed="false">
      <c r="A12" s="9" t="s">
        <v>439</v>
      </c>
      <c r="B12" s="10" t="n">
        <f aca="false">COUNTIFS('Test Cases'!$G$2:$G$670,$A12)</f>
        <v>8</v>
      </c>
      <c r="C12" s="10" t="n">
        <f aca="false">COUNTIFS('Test Cases'!$G$2:$G$670,$A12,'Test Cases'!$C$2:$C$670,"UI")</f>
        <v>6</v>
      </c>
      <c r="D12" s="10" t="n">
        <f aca="false">COUNTIFS('Test Cases'!$G$2:$G$670,$A12,'Test Cases'!$C$2:$C$670,"API")</f>
        <v>2</v>
      </c>
      <c r="E12" s="10" t="n">
        <f aca="false">COUNTIFS('Test Cases'!$G$2:$G$670,$A12,'Test Cases'!$C$2:$C$670,"DB")</f>
        <v>0</v>
      </c>
      <c r="F12" s="10" t="n">
        <f aca="false">COUNTIFS('Test Cases'!$G$2:$G$670,$A12,'Test Cases'!$H$2:$H$670,"Not run")</f>
        <v>8</v>
      </c>
      <c r="G12" s="10" t="n">
        <f aca="false">COUNTIFS('Test Cases'!$G$2:$G$670,$A12,'Test Cases'!$H$2:$H$670,"Passed")</f>
        <v>0</v>
      </c>
      <c r="H12" s="10" t="n">
        <f aca="false">COUNTIFS('Test Cases'!$G$2:$G$670,$A12,'Test Cases'!$H$2:$H$670,"Failed")</f>
        <v>0</v>
      </c>
      <c r="I12" s="10" t="n">
        <f aca="false">COUNTIFS('Test Cases'!$G$2:$G$670,$A12,'Test Cases'!$H$2:$H$670,"Blocked")</f>
        <v>0</v>
      </c>
      <c r="J12" s="10" t="n">
        <f aca="false">COUNTIFS('Test Cases'!$G$2:$G$670,$A12,'Test Cases'!$H$2:$H$670,"Retest Passed")</f>
        <v>0</v>
      </c>
      <c r="K12" s="10" t="n">
        <f aca="false">COUNTIFS('Test Cases'!$G$2:$G$670,$A12,'Test Cases'!$H$2:$H$670,"Retest Failed")</f>
        <v>0</v>
      </c>
      <c r="L12" s="11" t="n">
        <f aca="false">IF(B12=0,0,(B12-F12)/B12)</f>
        <v>0</v>
      </c>
      <c r="M12" s="11" t="n">
        <f aca="false">IF((B12-F12)=0,0,(G12+J12)/(B12-F12))</f>
        <v>0</v>
      </c>
    </row>
    <row r="13" customFormat="false" ht="15" hidden="false" customHeight="true" outlineLevel="0" collapsed="false">
      <c r="A13" s="9" t="s">
        <v>480</v>
      </c>
      <c r="B13" s="10" t="n">
        <f aca="false">COUNTIFS('Test Cases'!$G$2:$G$670,$A13)</f>
        <v>13</v>
      </c>
      <c r="C13" s="10" t="n">
        <f aca="false">COUNTIFS('Test Cases'!$G$2:$G$670,$A13,'Test Cases'!$C$2:$C$670,"UI")</f>
        <v>8</v>
      </c>
      <c r="D13" s="10" t="n">
        <f aca="false">COUNTIFS('Test Cases'!$G$2:$G$670,$A13,'Test Cases'!$C$2:$C$670,"API")</f>
        <v>3</v>
      </c>
      <c r="E13" s="10" t="n">
        <f aca="false">COUNTIFS('Test Cases'!$G$2:$G$670,$A13,'Test Cases'!$C$2:$C$670,"DB")</f>
        <v>2</v>
      </c>
      <c r="F13" s="10" t="n">
        <f aca="false">COUNTIFS('Test Cases'!$G$2:$G$670,$A13,'Test Cases'!$H$2:$H$670,"Not run")</f>
        <v>13</v>
      </c>
      <c r="G13" s="10" t="n">
        <f aca="false">COUNTIFS('Test Cases'!$G$2:$G$670,$A13,'Test Cases'!$H$2:$H$670,"Passed")</f>
        <v>0</v>
      </c>
      <c r="H13" s="10" t="n">
        <f aca="false">COUNTIFS('Test Cases'!$G$2:$G$670,$A13,'Test Cases'!$H$2:$H$670,"Failed")</f>
        <v>0</v>
      </c>
      <c r="I13" s="10" t="n">
        <f aca="false">COUNTIFS('Test Cases'!$G$2:$G$670,$A13,'Test Cases'!$H$2:$H$670,"Blocked")</f>
        <v>0</v>
      </c>
      <c r="J13" s="10" t="n">
        <f aca="false">COUNTIFS('Test Cases'!$G$2:$G$670,$A13,'Test Cases'!$H$2:$H$670,"Retest Passed")</f>
        <v>0</v>
      </c>
      <c r="K13" s="10" t="n">
        <f aca="false">COUNTIFS('Test Cases'!$G$2:$G$670,$A13,'Test Cases'!$H$2:$H$670,"Retest Failed")</f>
        <v>0</v>
      </c>
      <c r="L13" s="11" t="n">
        <f aca="false">IF(B13=0,0,(B13-F13)/B13)</f>
        <v>0</v>
      </c>
      <c r="M13" s="11" t="n">
        <f aca="false">IF((B13-F13)=0,0,(G13+J13)/(B13-F13))</f>
        <v>0</v>
      </c>
    </row>
    <row r="14" customFormat="false" ht="15" hidden="false" customHeight="true" outlineLevel="0" collapsed="false">
      <c r="A14" s="9" t="s">
        <v>545</v>
      </c>
      <c r="B14" s="10" t="n">
        <f aca="false">COUNTIFS('Test Cases'!$G$2:$G$670,$A14)</f>
        <v>15</v>
      </c>
      <c r="C14" s="10" t="n">
        <f aca="false">COUNTIFS('Test Cases'!$G$2:$G$670,$A14,'Test Cases'!$C$2:$C$670,"UI")</f>
        <v>4</v>
      </c>
      <c r="D14" s="10" t="n">
        <f aca="false">COUNTIFS('Test Cases'!$G$2:$G$670,$A14,'Test Cases'!$C$2:$C$670,"API")</f>
        <v>10</v>
      </c>
      <c r="E14" s="10" t="n">
        <f aca="false">COUNTIFS('Test Cases'!$G$2:$G$670,$A14,'Test Cases'!$C$2:$C$670,"DB")</f>
        <v>1</v>
      </c>
      <c r="F14" s="10" t="n">
        <f aca="false">COUNTIFS('Test Cases'!$G$2:$G$670,$A14,'Test Cases'!$H$2:$H$670,"Not run")</f>
        <v>15</v>
      </c>
      <c r="G14" s="10" t="n">
        <f aca="false">COUNTIFS('Test Cases'!$G$2:$G$670,$A14,'Test Cases'!$H$2:$H$670,"Passed")</f>
        <v>0</v>
      </c>
      <c r="H14" s="10" t="n">
        <f aca="false">COUNTIFS('Test Cases'!$G$2:$G$670,$A14,'Test Cases'!$H$2:$H$670,"Failed")</f>
        <v>0</v>
      </c>
      <c r="I14" s="10" t="n">
        <f aca="false">COUNTIFS('Test Cases'!$G$2:$G$670,$A14,'Test Cases'!$H$2:$H$670,"Blocked")</f>
        <v>0</v>
      </c>
      <c r="J14" s="10" t="n">
        <f aca="false">COUNTIFS('Test Cases'!$G$2:$G$670,$A14,'Test Cases'!$H$2:$H$670,"Retest Passed")</f>
        <v>0</v>
      </c>
      <c r="K14" s="10" t="n">
        <f aca="false">COUNTIFS('Test Cases'!$G$2:$G$670,$A14,'Test Cases'!$H$2:$H$670,"Retest Failed")</f>
        <v>0</v>
      </c>
      <c r="L14" s="11" t="n">
        <f aca="false">IF(B14=0,0,(B14-F14)/B14)</f>
        <v>0</v>
      </c>
      <c r="M14" s="11" t="n">
        <f aca="false">IF((B14-F14)=0,0,(G14+J14)/(B14-F14))</f>
        <v>0</v>
      </c>
    </row>
    <row r="15" customFormat="false" ht="15" hidden="false" customHeight="true" outlineLevel="0" collapsed="false">
      <c r="A15" s="9" t="s">
        <v>617</v>
      </c>
      <c r="B15" s="10" t="n">
        <f aca="false">COUNTIFS('Test Cases'!$G$2:$G$670,$A15)</f>
        <v>9</v>
      </c>
      <c r="C15" s="10" t="n">
        <f aca="false">COUNTIFS('Test Cases'!$G$2:$G$670,$A15,'Test Cases'!$C$2:$C$670,"UI")</f>
        <v>5</v>
      </c>
      <c r="D15" s="10" t="n">
        <f aca="false">COUNTIFS('Test Cases'!$G$2:$G$670,$A15,'Test Cases'!$C$2:$C$670,"API")</f>
        <v>4</v>
      </c>
      <c r="E15" s="10" t="n">
        <f aca="false">COUNTIFS('Test Cases'!$G$2:$G$670,$A15,'Test Cases'!$C$2:$C$670,"DB")</f>
        <v>0</v>
      </c>
      <c r="F15" s="10" t="n">
        <f aca="false">COUNTIFS('Test Cases'!$G$2:$G$670,$A15,'Test Cases'!$H$2:$H$670,"Not run")</f>
        <v>9</v>
      </c>
      <c r="G15" s="10" t="n">
        <f aca="false">COUNTIFS('Test Cases'!$G$2:$G$670,$A15,'Test Cases'!$H$2:$H$670,"Passed")</f>
        <v>0</v>
      </c>
      <c r="H15" s="10" t="n">
        <f aca="false">COUNTIFS('Test Cases'!$G$2:$G$670,$A15,'Test Cases'!$H$2:$H$670,"Failed")</f>
        <v>0</v>
      </c>
      <c r="I15" s="10" t="n">
        <f aca="false">COUNTIFS('Test Cases'!$G$2:$G$670,$A15,'Test Cases'!$H$2:$H$670,"Blocked")</f>
        <v>0</v>
      </c>
      <c r="J15" s="10" t="n">
        <f aca="false">COUNTIFS('Test Cases'!$G$2:$G$670,$A15,'Test Cases'!$H$2:$H$670,"Retest Passed")</f>
        <v>0</v>
      </c>
      <c r="K15" s="10" t="n">
        <f aca="false">COUNTIFS('Test Cases'!$G$2:$G$670,$A15,'Test Cases'!$H$2:$H$670,"Retest Failed")</f>
        <v>0</v>
      </c>
      <c r="L15" s="11" t="n">
        <f aca="false">IF(B15=0,0,(B15-F15)/B15)</f>
        <v>0</v>
      </c>
      <c r="M15" s="11" t="n">
        <f aca="false">IF((B15-F15)=0,0,(G15+J15)/(B15-F15))</f>
        <v>0</v>
      </c>
    </row>
    <row r="16" customFormat="false" ht="15" hidden="false" customHeight="true" outlineLevel="0" collapsed="false">
      <c r="A16" s="9" t="s">
        <v>663</v>
      </c>
      <c r="B16" s="10" t="n">
        <f aca="false">COUNTIFS('Test Cases'!$G$2:$G$670,$A16)</f>
        <v>16</v>
      </c>
      <c r="C16" s="10" t="n">
        <f aca="false">COUNTIFS('Test Cases'!$G$2:$G$670,$A16,'Test Cases'!$C$2:$C$670,"UI")</f>
        <v>3</v>
      </c>
      <c r="D16" s="10" t="n">
        <f aca="false">COUNTIFS('Test Cases'!$G$2:$G$670,$A16,'Test Cases'!$C$2:$C$670,"API")</f>
        <v>10</v>
      </c>
      <c r="E16" s="10" t="n">
        <f aca="false">COUNTIFS('Test Cases'!$G$2:$G$670,$A16,'Test Cases'!$C$2:$C$670,"DB")</f>
        <v>3</v>
      </c>
      <c r="F16" s="10" t="n">
        <f aca="false">COUNTIFS('Test Cases'!$G$2:$G$670,$A16,'Test Cases'!$H$2:$H$670,"Not run")</f>
        <v>16</v>
      </c>
      <c r="G16" s="10" t="n">
        <f aca="false">COUNTIFS('Test Cases'!$G$2:$G$670,$A16,'Test Cases'!$H$2:$H$670,"Passed")</f>
        <v>0</v>
      </c>
      <c r="H16" s="10" t="n">
        <f aca="false">COUNTIFS('Test Cases'!$G$2:$G$670,$A16,'Test Cases'!$H$2:$H$670,"Failed")</f>
        <v>0</v>
      </c>
      <c r="I16" s="10" t="n">
        <f aca="false">COUNTIFS('Test Cases'!$G$2:$G$670,$A16,'Test Cases'!$H$2:$H$670,"Blocked")</f>
        <v>0</v>
      </c>
      <c r="J16" s="10" t="n">
        <f aca="false">COUNTIFS('Test Cases'!$G$2:$G$670,$A16,'Test Cases'!$H$2:$H$670,"Retest Passed")</f>
        <v>0</v>
      </c>
      <c r="K16" s="10" t="n">
        <f aca="false">COUNTIFS('Test Cases'!$G$2:$G$670,$A16,'Test Cases'!$H$2:$H$670,"Retest Failed")</f>
        <v>0</v>
      </c>
      <c r="L16" s="11" t="n">
        <f aca="false">IF(B16=0,0,(B16-F16)/B16)</f>
        <v>0</v>
      </c>
      <c r="M16" s="11" t="n">
        <f aca="false">IF((B16-F16)=0,0,(G16+J16)/(B16-F16))</f>
        <v>0</v>
      </c>
    </row>
    <row r="17" customFormat="false" ht="15" hidden="false" customHeight="true" outlineLevel="0" collapsed="false">
      <c r="A17" s="9" t="s">
        <v>744</v>
      </c>
      <c r="B17" s="10" t="n">
        <f aca="false">COUNTIFS('Test Cases'!$G$2:$G$670,$A17)</f>
        <v>2</v>
      </c>
      <c r="C17" s="10" t="n">
        <f aca="false">COUNTIFS('Test Cases'!$G$2:$G$670,$A17,'Test Cases'!$C$2:$C$670,"UI")</f>
        <v>2</v>
      </c>
      <c r="D17" s="10" t="n">
        <f aca="false">COUNTIFS('Test Cases'!$G$2:$G$670,$A17,'Test Cases'!$C$2:$C$670,"API")</f>
        <v>0</v>
      </c>
      <c r="E17" s="10" t="n">
        <f aca="false">COUNTIFS('Test Cases'!$G$2:$G$670,$A17,'Test Cases'!$C$2:$C$670,"DB")</f>
        <v>0</v>
      </c>
      <c r="F17" s="10" t="n">
        <f aca="false">COUNTIFS('Test Cases'!$G$2:$G$670,$A17,'Test Cases'!$H$2:$H$670,"Not run")</f>
        <v>2</v>
      </c>
      <c r="G17" s="10" t="n">
        <f aca="false">COUNTIFS('Test Cases'!$G$2:$G$670,$A17,'Test Cases'!$H$2:$H$670,"Passed")</f>
        <v>0</v>
      </c>
      <c r="H17" s="10" t="n">
        <f aca="false">COUNTIFS('Test Cases'!$G$2:$G$670,$A17,'Test Cases'!$H$2:$H$670,"Failed")</f>
        <v>0</v>
      </c>
      <c r="I17" s="10" t="n">
        <f aca="false">COUNTIFS('Test Cases'!$G$2:$G$670,$A17,'Test Cases'!$H$2:$H$670,"Blocked")</f>
        <v>0</v>
      </c>
      <c r="J17" s="10" t="n">
        <f aca="false">COUNTIFS('Test Cases'!$G$2:$G$670,$A17,'Test Cases'!$H$2:$H$670,"Retest Passed")</f>
        <v>0</v>
      </c>
      <c r="K17" s="10" t="n">
        <f aca="false">COUNTIFS('Test Cases'!$G$2:$G$670,$A17,'Test Cases'!$H$2:$H$670,"Retest Failed")</f>
        <v>0</v>
      </c>
      <c r="L17" s="11" t="n">
        <f aca="false">IF(B17=0,0,(B17-F17)/B17)</f>
        <v>0</v>
      </c>
      <c r="M17" s="11" t="n">
        <f aca="false">IF((B17-F17)=0,0,(G17+J17)/(B17-F17))</f>
        <v>0</v>
      </c>
    </row>
    <row r="18" customFormat="false" ht="15" hidden="false" customHeight="true" outlineLevel="0" collapsed="false">
      <c r="A18" s="9" t="s">
        <v>755</v>
      </c>
      <c r="B18" s="10" t="n">
        <f aca="false">COUNTIFS('Test Cases'!$G$2:$G$670,$A18)</f>
        <v>5</v>
      </c>
      <c r="C18" s="10" t="n">
        <f aca="false">COUNTIFS('Test Cases'!$G$2:$G$670,$A18,'Test Cases'!$C$2:$C$670,"UI")</f>
        <v>0</v>
      </c>
      <c r="D18" s="10" t="n">
        <f aca="false">COUNTIFS('Test Cases'!$G$2:$G$670,$A18,'Test Cases'!$C$2:$C$670,"API")</f>
        <v>1</v>
      </c>
      <c r="E18" s="10" t="n">
        <f aca="false">COUNTIFS('Test Cases'!$G$2:$G$670,$A18,'Test Cases'!$C$2:$C$670,"DB")</f>
        <v>4</v>
      </c>
      <c r="F18" s="10" t="n">
        <f aca="false">COUNTIFS('Test Cases'!$G$2:$G$670,$A18,'Test Cases'!$H$2:$H$670,"Not run")</f>
        <v>5</v>
      </c>
      <c r="G18" s="10" t="n">
        <f aca="false">COUNTIFS('Test Cases'!$G$2:$G$670,$A18,'Test Cases'!$H$2:$H$670,"Passed")</f>
        <v>0</v>
      </c>
      <c r="H18" s="10" t="n">
        <f aca="false">COUNTIFS('Test Cases'!$G$2:$G$670,$A18,'Test Cases'!$H$2:$H$670,"Failed")</f>
        <v>0</v>
      </c>
      <c r="I18" s="10" t="n">
        <f aca="false">COUNTIFS('Test Cases'!$G$2:$G$670,$A18,'Test Cases'!$H$2:$H$670,"Blocked")</f>
        <v>0</v>
      </c>
      <c r="J18" s="10" t="n">
        <f aca="false">COUNTIFS('Test Cases'!$G$2:$G$670,$A18,'Test Cases'!$H$2:$H$670,"Retest Passed")</f>
        <v>0</v>
      </c>
      <c r="K18" s="10" t="n">
        <f aca="false">COUNTIFS('Test Cases'!$G$2:$G$670,$A18,'Test Cases'!$H$2:$H$670,"Retest Failed")</f>
        <v>0</v>
      </c>
      <c r="L18" s="11" t="n">
        <f aca="false">IF(B18=0,0,(B18-F18)/B18)</f>
        <v>0</v>
      </c>
      <c r="M18" s="11" t="n">
        <f aca="false">IF((B18-F18)=0,0,(G18+J18)/(B18-F18))</f>
        <v>0</v>
      </c>
    </row>
    <row r="19" customFormat="false" ht="15" hidden="false" customHeight="true" outlineLevel="0" collapsed="false">
      <c r="A19" s="9" t="s">
        <v>781</v>
      </c>
      <c r="B19" s="10" t="n">
        <f aca="false">COUNTIFS('Test Cases'!$G$2:$G$670,$A19)</f>
        <v>11</v>
      </c>
      <c r="C19" s="10" t="n">
        <f aca="false">COUNTIFS('Test Cases'!$G$2:$G$670,$A19,'Test Cases'!$C$2:$C$670,"UI")</f>
        <v>0</v>
      </c>
      <c r="D19" s="10" t="n">
        <f aca="false">COUNTIFS('Test Cases'!$G$2:$G$670,$A19,'Test Cases'!$C$2:$C$670,"API")</f>
        <v>10</v>
      </c>
      <c r="E19" s="10" t="n">
        <f aca="false">COUNTIFS('Test Cases'!$G$2:$G$670,$A19,'Test Cases'!$C$2:$C$670,"DB")</f>
        <v>1</v>
      </c>
      <c r="F19" s="10" t="n">
        <f aca="false">COUNTIFS('Test Cases'!$G$2:$G$670,$A19,'Test Cases'!$H$2:$H$670,"Not run")</f>
        <v>11</v>
      </c>
      <c r="G19" s="10" t="n">
        <f aca="false">COUNTIFS('Test Cases'!$G$2:$G$670,$A19,'Test Cases'!$H$2:$H$670,"Passed")</f>
        <v>0</v>
      </c>
      <c r="H19" s="10" t="n">
        <f aca="false">COUNTIFS('Test Cases'!$G$2:$G$670,$A19,'Test Cases'!$H$2:$H$670,"Failed")</f>
        <v>0</v>
      </c>
      <c r="I19" s="10" t="n">
        <f aca="false">COUNTIFS('Test Cases'!$G$2:$G$670,$A19,'Test Cases'!$H$2:$H$670,"Blocked")</f>
        <v>0</v>
      </c>
      <c r="J19" s="10" t="n">
        <f aca="false">COUNTIFS('Test Cases'!$G$2:$G$670,$A19,'Test Cases'!$H$2:$H$670,"Retest Passed")</f>
        <v>0</v>
      </c>
      <c r="K19" s="10" t="n">
        <f aca="false">COUNTIFS('Test Cases'!$G$2:$G$670,$A19,'Test Cases'!$H$2:$H$670,"Retest Failed")</f>
        <v>0</v>
      </c>
      <c r="L19" s="11" t="n">
        <f aca="false">IF(B19=0,0,(B19-F19)/B19)</f>
        <v>0</v>
      </c>
      <c r="M19" s="11" t="n">
        <f aca="false">IF((B19-F19)=0,0,(G19+J19)/(B19-F19))</f>
        <v>0</v>
      </c>
    </row>
    <row r="20" customFormat="false" ht="15" hidden="false" customHeight="true" outlineLevel="0" collapsed="false">
      <c r="A20" s="9" t="s">
        <v>837</v>
      </c>
      <c r="B20" s="10" t="n">
        <f aca="false">COUNTIFS('Test Cases'!$G$2:$G$670,$A20)</f>
        <v>6</v>
      </c>
      <c r="C20" s="10" t="n">
        <f aca="false">COUNTIFS('Test Cases'!$G$2:$G$670,$A20,'Test Cases'!$C$2:$C$670,"UI")</f>
        <v>2</v>
      </c>
      <c r="D20" s="10" t="n">
        <f aca="false">COUNTIFS('Test Cases'!$G$2:$G$670,$A20,'Test Cases'!$C$2:$C$670,"API")</f>
        <v>4</v>
      </c>
      <c r="E20" s="10" t="n">
        <f aca="false">COUNTIFS('Test Cases'!$G$2:$G$670,$A20,'Test Cases'!$C$2:$C$670,"DB")</f>
        <v>0</v>
      </c>
      <c r="F20" s="10" t="n">
        <f aca="false">COUNTIFS('Test Cases'!$G$2:$G$670,$A20,'Test Cases'!$H$2:$H$670,"Not run")</f>
        <v>6</v>
      </c>
      <c r="G20" s="10" t="n">
        <f aca="false">COUNTIFS('Test Cases'!$G$2:$G$670,$A20,'Test Cases'!$H$2:$H$670,"Passed")</f>
        <v>0</v>
      </c>
      <c r="H20" s="10" t="n">
        <f aca="false">COUNTIFS('Test Cases'!$G$2:$G$670,$A20,'Test Cases'!$H$2:$H$670,"Failed")</f>
        <v>0</v>
      </c>
      <c r="I20" s="10" t="n">
        <f aca="false">COUNTIFS('Test Cases'!$G$2:$G$670,$A20,'Test Cases'!$H$2:$H$670,"Blocked")</f>
        <v>0</v>
      </c>
      <c r="J20" s="10" t="n">
        <f aca="false">COUNTIFS('Test Cases'!$G$2:$G$670,$A20,'Test Cases'!$H$2:$H$670,"Retest Passed")</f>
        <v>0</v>
      </c>
      <c r="K20" s="10" t="n">
        <f aca="false">COUNTIFS('Test Cases'!$G$2:$G$670,$A20,'Test Cases'!$H$2:$H$670,"Retest Failed")</f>
        <v>0</v>
      </c>
      <c r="L20" s="11" t="n">
        <f aca="false">IF(B20=0,0,(B20-F20)/B20)</f>
        <v>0</v>
      </c>
      <c r="M20" s="11" t="n">
        <f aca="false">IF((B20-F20)=0,0,(G20+J20)/(B20-F20))</f>
        <v>0</v>
      </c>
    </row>
    <row r="21" customFormat="false" ht="15" hidden="false" customHeight="true" outlineLevel="0" collapsed="false">
      <c r="A21" s="9" t="s">
        <v>868</v>
      </c>
      <c r="B21" s="10" t="n">
        <f aca="false">COUNTIFS('Test Cases'!$G$2:$G$670,$A21)</f>
        <v>5</v>
      </c>
      <c r="C21" s="10" t="n">
        <f aca="false">COUNTIFS('Test Cases'!$G$2:$G$670,$A21,'Test Cases'!$C$2:$C$670,"UI")</f>
        <v>5</v>
      </c>
      <c r="D21" s="10" t="n">
        <f aca="false">COUNTIFS('Test Cases'!$G$2:$G$670,$A21,'Test Cases'!$C$2:$C$670,"API")</f>
        <v>0</v>
      </c>
      <c r="E21" s="10" t="n">
        <f aca="false">COUNTIFS('Test Cases'!$G$2:$G$670,$A21,'Test Cases'!$C$2:$C$670,"DB")</f>
        <v>0</v>
      </c>
      <c r="F21" s="10" t="n">
        <f aca="false">COUNTIFS('Test Cases'!$G$2:$G$670,$A21,'Test Cases'!$H$2:$H$670,"Not run")</f>
        <v>5</v>
      </c>
      <c r="G21" s="10" t="n">
        <f aca="false">COUNTIFS('Test Cases'!$G$2:$G$670,$A21,'Test Cases'!$H$2:$H$670,"Passed")</f>
        <v>0</v>
      </c>
      <c r="H21" s="10" t="n">
        <f aca="false">COUNTIFS('Test Cases'!$G$2:$G$670,$A21,'Test Cases'!$H$2:$H$670,"Failed")</f>
        <v>0</v>
      </c>
      <c r="I21" s="10" t="n">
        <f aca="false">COUNTIFS('Test Cases'!$G$2:$G$670,$A21,'Test Cases'!$H$2:$H$670,"Blocked")</f>
        <v>0</v>
      </c>
      <c r="J21" s="10" t="n">
        <f aca="false">COUNTIFS('Test Cases'!$G$2:$G$670,$A21,'Test Cases'!$H$2:$H$670,"Retest Passed")</f>
        <v>0</v>
      </c>
      <c r="K21" s="10" t="n">
        <f aca="false">COUNTIFS('Test Cases'!$G$2:$G$670,$A21,'Test Cases'!$H$2:$H$670,"Retest Failed")</f>
        <v>0</v>
      </c>
      <c r="L21" s="11" t="n">
        <f aca="false">IF(B21=0,0,(B21-F21)/B21)</f>
        <v>0</v>
      </c>
      <c r="M21" s="11" t="n">
        <f aca="false">IF((B21-F21)=0,0,(G21+J21)/(B21-F21))</f>
        <v>0</v>
      </c>
    </row>
    <row r="22" customFormat="false" ht="15" hidden="false" customHeight="true" outlineLevel="0" collapsed="false">
      <c r="A22" s="9" t="s">
        <v>893</v>
      </c>
      <c r="B22" s="10" t="n">
        <f aca="false">COUNTIFS('Test Cases'!$G$2:$G$670,$A22)</f>
        <v>5</v>
      </c>
      <c r="C22" s="10" t="n">
        <f aca="false">COUNTIFS('Test Cases'!$G$2:$G$670,$A22,'Test Cases'!$C$2:$C$670,"UI")</f>
        <v>5</v>
      </c>
      <c r="D22" s="10" t="n">
        <f aca="false">COUNTIFS('Test Cases'!$G$2:$G$670,$A22,'Test Cases'!$C$2:$C$670,"API")</f>
        <v>0</v>
      </c>
      <c r="E22" s="10" t="n">
        <f aca="false">COUNTIFS('Test Cases'!$G$2:$G$670,$A22,'Test Cases'!$C$2:$C$670,"DB")</f>
        <v>0</v>
      </c>
      <c r="F22" s="10" t="n">
        <f aca="false">COUNTIFS('Test Cases'!$G$2:$G$670,$A22,'Test Cases'!$H$2:$H$670,"Not run")</f>
        <v>5</v>
      </c>
      <c r="G22" s="10" t="n">
        <f aca="false">COUNTIFS('Test Cases'!$G$2:$G$670,$A22,'Test Cases'!$H$2:$H$670,"Passed")</f>
        <v>0</v>
      </c>
      <c r="H22" s="10" t="n">
        <f aca="false">COUNTIFS('Test Cases'!$G$2:$G$670,$A22,'Test Cases'!$H$2:$H$670,"Failed")</f>
        <v>0</v>
      </c>
      <c r="I22" s="10" t="n">
        <f aca="false">COUNTIFS('Test Cases'!$G$2:$G$670,$A22,'Test Cases'!$H$2:$H$670,"Blocked")</f>
        <v>0</v>
      </c>
      <c r="J22" s="10" t="n">
        <f aca="false">COUNTIFS('Test Cases'!$G$2:$G$670,$A22,'Test Cases'!$H$2:$H$670,"Retest Passed")</f>
        <v>0</v>
      </c>
      <c r="K22" s="10" t="n">
        <f aca="false">COUNTIFS('Test Cases'!$G$2:$G$670,$A22,'Test Cases'!$H$2:$H$670,"Retest Failed")</f>
        <v>0</v>
      </c>
      <c r="L22" s="11" t="n">
        <f aca="false">IF(B22=0,0,(B22-F22)/B22)</f>
        <v>0</v>
      </c>
      <c r="M22" s="11" t="n">
        <f aca="false">IF((B22-F22)=0,0,(G22+J22)/(B22-F22))</f>
        <v>0</v>
      </c>
    </row>
    <row r="23" customFormat="false" ht="15" hidden="false" customHeight="true" outlineLevel="0" collapsed="false">
      <c r="A23" s="12" t="s">
        <v>923</v>
      </c>
      <c r="B23" s="13" t="n">
        <f aca="false">SUM(B4:B22)</f>
        <v>173</v>
      </c>
      <c r="C23" s="13" t="n">
        <f aca="false">SUM(C4:C22)</f>
        <v>70</v>
      </c>
      <c r="D23" s="13" t="n">
        <f aca="false">SUM(D4:D22)</f>
        <v>90</v>
      </c>
      <c r="E23" s="13" t="n">
        <f aca="false">SUM(E4:E22)</f>
        <v>13</v>
      </c>
      <c r="F23" s="13" t="n">
        <f aca="false">SUM(F4:F22)</f>
        <v>173</v>
      </c>
      <c r="G23" s="13" t="n">
        <f aca="false">SUM(G4:G22)</f>
        <v>0</v>
      </c>
      <c r="H23" s="13" t="n">
        <f aca="false">SUM(H4:H22)</f>
        <v>0</v>
      </c>
      <c r="I23" s="13" t="n">
        <f aca="false">SUM(I4:I22)</f>
        <v>0</v>
      </c>
      <c r="J23" s="13" t="n">
        <f aca="false">SUM(J4:J22)</f>
        <v>0</v>
      </c>
      <c r="K23" s="13" t="n">
        <f aca="false">SUM(K4:K22)</f>
        <v>0</v>
      </c>
      <c r="L23" s="14" t="n">
        <f aca="false">IF(B23=0,0,(B23-F23)/B23)</f>
        <v>0</v>
      </c>
      <c r="M23" s="14" t="n">
        <f aca="false">IF((B23-F23)=0,0,(G23+J23)/(B23-F23))</f>
        <v>0</v>
      </c>
    </row>
    <row r="25" customFormat="false" ht="15" hidden="false" customHeight="true" outlineLevel="0" collapsed="false">
      <c r="A25" s="15" t="s">
        <v>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80"/>
    <col collapsed="false" customWidth="true" hidden="false" outlineLevel="0" max="4" min="4" style="1" width="60"/>
  </cols>
  <sheetData>
    <row r="1" customFormat="false" ht="15" hidden="false" customHeight="true" outlineLevel="0" collapsed="false">
      <c r="A1" s="16" t="s">
        <v>29</v>
      </c>
      <c r="B1" s="16" t="s">
        <v>925</v>
      </c>
      <c r="C1" s="16" t="s">
        <v>926</v>
      </c>
      <c r="D1" s="16" t="s">
        <v>927</v>
      </c>
    </row>
    <row r="2" customFormat="false" ht="30" hidden="false" customHeight="true" outlineLevel="0" collapsed="false">
      <c r="A2" s="17" t="s">
        <v>928</v>
      </c>
      <c r="B2" s="17" t="s">
        <v>929</v>
      </c>
      <c r="C2" s="17" t="s">
        <v>930</v>
      </c>
      <c r="D2" s="17" t="s">
        <v>931</v>
      </c>
    </row>
    <row r="3" customFormat="false" ht="30" hidden="false" customHeight="true" outlineLevel="0" collapsed="false">
      <c r="A3" s="17" t="s">
        <v>932</v>
      </c>
      <c r="B3" s="17" t="s">
        <v>933</v>
      </c>
      <c r="C3" s="17" t="s">
        <v>934</v>
      </c>
      <c r="D3" s="17" t="s">
        <v>931</v>
      </c>
    </row>
    <row r="4" customFormat="false" ht="30" hidden="false" customHeight="true" outlineLevel="0" collapsed="false">
      <c r="A4" s="17" t="s">
        <v>935</v>
      </c>
      <c r="B4" s="17" t="s">
        <v>936</v>
      </c>
      <c r="C4" s="17" t="s">
        <v>937</v>
      </c>
      <c r="D4" s="17" t="s">
        <v>938</v>
      </c>
    </row>
    <row r="5" customFormat="false" ht="30" hidden="false" customHeight="true" outlineLevel="0" collapsed="false">
      <c r="A5" s="17" t="s">
        <v>939</v>
      </c>
      <c r="B5" s="17" t="s">
        <v>940</v>
      </c>
      <c r="C5" s="17" t="s">
        <v>941</v>
      </c>
      <c r="D5" s="17" t="s">
        <v>942</v>
      </c>
    </row>
    <row r="6" customFormat="false" ht="45" hidden="false" customHeight="true" outlineLevel="0" collapsed="false">
      <c r="A6" s="17" t="s">
        <v>943</v>
      </c>
      <c r="B6" s="17" t="s">
        <v>944</v>
      </c>
      <c r="C6" s="17" t="s">
        <v>945</v>
      </c>
      <c r="D6" s="17" t="s">
        <v>946</v>
      </c>
    </row>
    <row r="7" customFormat="false" ht="30" hidden="false" customHeight="true" outlineLevel="0" collapsed="false">
      <c r="A7" s="17" t="s">
        <v>947</v>
      </c>
      <c r="B7" s="17" t="s">
        <v>948</v>
      </c>
      <c r="C7" s="17" t="s">
        <v>949</v>
      </c>
      <c r="D7" s="17" t="s">
        <v>950</v>
      </c>
    </row>
    <row r="8" customFormat="false" ht="30" hidden="false" customHeight="true" outlineLevel="0" collapsed="false">
      <c r="A8" s="17" t="s">
        <v>951</v>
      </c>
      <c r="B8" s="17" t="s">
        <v>952</v>
      </c>
      <c r="C8" s="17" t="s">
        <v>953</v>
      </c>
      <c r="D8" s="17" t="s">
        <v>954</v>
      </c>
    </row>
    <row r="9" customFormat="false" ht="45" hidden="false" customHeight="true" outlineLevel="0" collapsed="false">
      <c r="A9" s="17" t="s">
        <v>955</v>
      </c>
      <c r="B9" s="17" t="s">
        <v>956</v>
      </c>
      <c r="C9" s="17" t="s">
        <v>957</v>
      </c>
      <c r="D9" s="17" t="s">
        <v>958</v>
      </c>
    </row>
    <row r="10" customFormat="false" ht="30" hidden="false" customHeight="true" outlineLevel="0" collapsed="false">
      <c r="A10" s="17" t="s">
        <v>959</v>
      </c>
      <c r="B10" s="17" t="s">
        <v>960</v>
      </c>
      <c r="C10" s="17" t="s">
        <v>961</v>
      </c>
      <c r="D10" s="17" t="s">
        <v>962</v>
      </c>
    </row>
    <row r="11" customFormat="false" ht="15" hidden="false" customHeight="true" outlineLevel="0" collapsed="false">
      <c r="A11" s="17" t="s">
        <v>963</v>
      </c>
      <c r="B11" s="17" t="s">
        <v>964</v>
      </c>
      <c r="C11" s="17" t="s">
        <v>965</v>
      </c>
      <c r="D11" s="17" t="s">
        <v>966</v>
      </c>
    </row>
    <row r="12" customFormat="false" ht="30" hidden="false" customHeight="true" outlineLevel="0" collapsed="false">
      <c r="A12" s="17" t="s">
        <v>967</v>
      </c>
      <c r="B12" s="17" t="s">
        <v>960</v>
      </c>
      <c r="C12" s="17" t="s">
        <v>968</v>
      </c>
      <c r="D12" s="17" t="s">
        <v>962</v>
      </c>
    </row>
    <row r="13" customFormat="false" ht="30" hidden="false" customHeight="true" outlineLevel="0" collapsed="false">
      <c r="A13" s="17" t="s">
        <v>969</v>
      </c>
      <c r="B13" s="17" t="s">
        <v>970</v>
      </c>
      <c r="C13" s="17" t="s">
        <v>971</v>
      </c>
      <c r="D13" s="17" t="s">
        <v>972</v>
      </c>
    </row>
    <row r="14" customFormat="false" ht="15" hidden="false" customHeight="true" outlineLevel="0" collapsed="false">
      <c r="A14" s="17" t="s">
        <v>973</v>
      </c>
      <c r="B14" s="17" t="s">
        <v>974</v>
      </c>
      <c r="C14" s="17" t="s">
        <v>975</v>
      </c>
      <c r="D14" s="17" t="s">
        <v>976</v>
      </c>
    </row>
    <row r="15" customFormat="false" ht="30" hidden="false" customHeight="true" outlineLevel="0" collapsed="false">
      <c r="A15" s="17" t="s">
        <v>977</v>
      </c>
      <c r="B15" s="17" t="s">
        <v>978</v>
      </c>
      <c r="C15" s="17" t="s">
        <v>979</v>
      </c>
      <c r="D15" s="17" t="s">
        <v>980</v>
      </c>
    </row>
    <row r="16" customFormat="false" ht="30" hidden="false" customHeight="true" outlineLevel="0" collapsed="false">
      <c r="A16" s="17" t="s">
        <v>981</v>
      </c>
      <c r="B16" s="17" t="s">
        <v>982</v>
      </c>
      <c r="C16" s="17" t="s">
        <v>983</v>
      </c>
      <c r="D16" s="17" t="s">
        <v>984</v>
      </c>
    </row>
    <row r="17" customFormat="false" ht="15" hidden="false" customHeight="true" outlineLevel="0" collapsed="false">
      <c r="A17" s="17" t="s">
        <v>985</v>
      </c>
      <c r="B17" s="17" t="s">
        <v>986</v>
      </c>
      <c r="C17" s="17" t="s">
        <v>987</v>
      </c>
      <c r="D17" s="17" t="s">
        <v>988</v>
      </c>
    </row>
    <row r="18" customFormat="false" ht="15" hidden="false" customHeight="true" outlineLevel="0" collapsed="false">
      <c r="A18" s="17" t="s">
        <v>989</v>
      </c>
      <c r="B18" s="17" t="s">
        <v>990</v>
      </c>
      <c r="C18" s="17" t="s">
        <v>991</v>
      </c>
      <c r="D18" s="17" t="s">
        <v>992</v>
      </c>
    </row>
    <row r="19" customFormat="false" ht="15" hidden="false" customHeight="true" outlineLevel="0" collapsed="false">
      <c r="A19" s="17" t="s">
        <v>993</v>
      </c>
      <c r="B19" s="17" t="s">
        <v>994</v>
      </c>
      <c r="C19" s="17" t="s">
        <v>995</v>
      </c>
      <c r="D19" s="17" t="s">
        <v>996</v>
      </c>
    </row>
    <row r="20" customFormat="false" ht="15" hidden="false" customHeight="true" outlineLevel="0" collapsed="false">
      <c r="A20" s="17" t="s">
        <v>997</v>
      </c>
      <c r="B20" s="17" t="s">
        <v>998</v>
      </c>
      <c r="C20" s="17" t="s">
        <v>999</v>
      </c>
      <c r="D20" s="17" t="s">
        <v>1000</v>
      </c>
    </row>
    <row r="21" customFormat="false" ht="15" hidden="false" customHeight="true" outlineLevel="0" collapsed="false">
      <c r="A21" s="17" t="s">
        <v>1001</v>
      </c>
      <c r="B21" s="17" t="s">
        <v>1002</v>
      </c>
      <c r="C21" s="17" t="s">
        <v>1003</v>
      </c>
      <c r="D21" s="17" t="s">
        <v>1004</v>
      </c>
    </row>
    <row r="22" customFormat="false" ht="15" hidden="false" customHeight="true" outlineLevel="0" collapsed="false">
      <c r="A22" s="17" t="s">
        <v>1005</v>
      </c>
      <c r="B22" s="17" t="s">
        <v>1006</v>
      </c>
      <c r="C22" s="17" t="s">
        <v>1007</v>
      </c>
      <c r="D22" s="17" t="s">
        <v>1008</v>
      </c>
    </row>
    <row r="23" customFormat="false" ht="15" hidden="false" customHeight="true" outlineLevel="0" collapsed="false">
      <c r="A23" s="17" t="s">
        <v>1009</v>
      </c>
      <c r="B23" s="17" t="s">
        <v>1006</v>
      </c>
      <c r="C23" s="17" t="s">
        <v>1010</v>
      </c>
      <c r="D23" s="17" t="s">
        <v>1011</v>
      </c>
    </row>
    <row r="24" customFormat="false" ht="15" hidden="false" customHeight="true" outlineLevel="0" collapsed="false">
      <c r="A24" s="17" t="s">
        <v>1012</v>
      </c>
      <c r="B24" s="17" t="s">
        <v>1006</v>
      </c>
      <c r="C24" s="17" t="s">
        <v>1013</v>
      </c>
      <c r="D24" s="17" t="s">
        <v>1014</v>
      </c>
    </row>
    <row r="25" customFormat="false" ht="15" hidden="false" customHeight="true" outlineLevel="0" collapsed="false">
      <c r="A25" s="17" t="s">
        <v>1015</v>
      </c>
      <c r="B25" s="17" t="s">
        <v>1006</v>
      </c>
      <c r="C25" s="17" t="s">
        <v>1016</v>
      </c>
      <c r="D25" s="17" t="s">
        <v>1017</v>
      </c>
    </row>
    <row r="26" customFormat="false" ht="30" hidden="false" customHeight="true" outlineLevel="0" collapsed="false">
      <c r="A26" s="17" t="s">
        <v>1018</v>
      </c>
      <c r="B26" s="17" t="s">
        <v>1006</v>
      </c>
      <c r="C26" s="17" t="s">
        <v>1019</v>
      </c>
      <c r="D26" s="17" t="s">
        <v>1020</v>
      </c>
    </row>
    <row r="27" customFormat="false" ht="15" hidden="false" customHeight="true" outlineLevel="0" collapsed="false">
      <c r="A27" s="17" t="s">
        <v>1021</v>
      </c>
      <c r="B27" s="17" t="s">
        <v>1006</v>
      </c>
      <c r="C27" s="17" t="s">
        <v>1022</v>
      </c>
      <c r="D27" s="17" t="s">
        <v>1023</v>
      </c>
    </row>
    <row r="28" customFormat="false" ht="30" hidden="false" customHeight="true" outlineLevel="0" collapsed="false">
      <c r="A28" s="17" t="s">
        <v>1024</v>
      </c>
      <c r="B28" s="17" t="s">
        <v>1006</v>
      </c>
      <c r="C28" s="17" t="s">
        <v>1025</v>
      </c>
      <c r="D28" s="17" t="s">
        <v>1026</v>
      </c>
    </row>
    <row r="29" customFormat="false" ht="30" hidden="false" customHeight="true" outlineLevel="0" collapsed="false">
      <c r="A29" s="17" t="s">
        <v>1027</v>
      </c>
      <c r="B29" s="17" t="s">
        <v>1006</v>
      </c>
      <c r="C29" s="17" t="s">
        <v>1028</v>
      </c>
      <c r="D29" s="17" t="s">
        <v>1029</v>
      </c>
    </row>
    <row r="30" customFormat="false" ht="15" hidden="false" customHeight="true" outlineLevel="0" collapsed="false">
      <c r="A30" s="17" t="s">
        <v>1030</v>
      </c>
      <c r="B30" s="17" t="s">
        <v>1006</v>
      </c>
      <c r="C30" s="17" t="s">
        <v>1031</v>
      </c>
      <c r="D30" s="17" t="s">
        <v>1001</v>
      </c>
    </row>
    <row r="31" customFormat="false" ht="15" hidden="false" customHeight="true" outlineLevel="0" collapsed="false">
      <c r="A31" s="17" t="s">
        <v>1032</v>
      </c>
      <c r="B31" s="17" t="s">
        <v>1006</v>
      </c>
      <c r="C31" s="17" t="s">
        <v>1033</v>
      </c>
      <c r="D31" s="17" t="s">
        <v>1034</v>
      </c>
    </row>
    <row r="32" customFormat="false" ht="15" hidden="false" customHeight="true" outlineLevel="0" collapsed="false">
      <c r="A32" s="17" t="s">
        <v>1035</v>
      </c>
      <c r="B32" s="17" t="s">
        <v>1006</v>
      </c>
      <c r="C32" s="17" t="s">
        <v>1036</v>
      </c>
      <c r="D32" s="17" t="s">
        <v>1001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2026-09-11T02:18:51Z</dcterms:created>
  <dc:creator>openpyxl</dc:creator>
  <dc:description/>
  <dc:language>en-US</dc:language>
  <cp:lastModifiedBy/>
  <dcterms:modified xsi:type="dcterms:W3CDTF">2026-10-16T18:24:28Z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